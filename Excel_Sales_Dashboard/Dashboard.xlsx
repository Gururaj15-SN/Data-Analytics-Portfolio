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10863287-536E-4D79-8341-C00749567BED}" xr6:coauthVersionLast="47" xr6:coauthVersionMax="47" xr10:uidLastSave="{00000000-0000-0000-0000-000000000000}"/>
  <bookViews>
    <workbookView xWindow="-108" yWindow="-108" windowWidth="23256" windowHeight="12456" firstSheet="3" activeTab="6" xr2:uid="{00000000-000D-0000-FFFF-FFFF00000000}"/>
  </bookViews>
  <sheets>
    <sheet name="Pivot_ProductSales" sheetId="3" r:id="rId1"/>
    <sheet name="Sales by Category" sheetId="6" r:id="rId2"/>
    <sheet name="Sales by Month" sheetId="10" r:id="rId3"/>
    <sheet name="Pivot_MonthlySales" sheetId="16" r:id="rId4"/>
    <sheet name="Raw Sales" sheetId="1" r:id="rId5"/>
    <sheet name="Pivot_RegionalSales" sheetId="2" r:id="rId6"/>
    <sheet name="Dashboard" sheetId="14" r:id="rId7"/>
  </sheets>
  <definedNames>
    <definedName name="Slicer_Category">#N/A</definedName>
    <definedName name="Slicer_Region">#N/A</definedName>
    <definedName name="Slicer_Year">#N/A</definedName>
  </definedNames>
  <calcPr calcId="191029"/>
  <pivotCaches>
    <pivotCache cacheId="0" r:id="rId8"/>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1" i="1" l="1"/>
  <c r="L21" i="1" s="1"/>
  <c r="H20" i="1"/>
  <c r="L20" i="1" s="1"/>
  <c r="H2" i="1"/>
  <c r="L2" i="1" s="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I2" i="1"/>
  <c r="K2" i="1" s="1"/>
  <c r="I3" i="1"/>
  <c r="K3" i="1" s="1"/>
  <c r="I4" i="1"/>
  <c r="K4" i="1" s="1"/>
  <c r="I5" i="1"/>
  <c r="K5" i="1" s="1"/>
  <c r="I6" i="1"/>
  <c r="K6" i="1" s="1"/>
  <c r="I7" i="1"/>
  <c r="K7" i="1" s="1"/>
  <c r="I8" i="1"/>
  <c r="K8" i="1" s="1"/>
  <c r="I9" i="1"/>
  <c r="K9" i="1" s="1"/>
  <c r="I10" i="1"/>
  <c r="K10" i="1" s="1"/>
  <c r="I11" i="1"/>
  <c r="K11" i="1" s="1"/>
  <c r="I12" i="1"/>
  <c r="K12" i="1" s="1"/>
  <c r="I13" i="1"/>
  <c r="K13" i="1" s="1"/>
  <c r="I14" i="1"/>
  <c r="K14" i="1" s="1"/>
  <c r="I15" i="1"/>
  <c r="K15" i="1" s="1"/>
  <c r="I16" i="1"/>
  <c r="K16" i="1" s="1"/>
  <c r="I17" i="1"/>
  <c r="K17" i="1" s="1"/>
  <c r="I18" i="1"/>
  <c r="K18" i="1" s="1"/>
  <c r="I19" i="1"/>
  <c r="K19" i="1" s="1"/>
  <c r="I20" i="1"/>
  <c r="K20" i="1" s="1"/>
  <c r="I21" i="1"/>
  <c r="K21" i="1" s="1"/>
  <c r="I22" i="1"/>
  <c r="K22" i="1" s="1"/>
  <c r="I23" i="1"/>
  <c r="K23" i="1" s="1"/>
  <c r="I24" i="1"/>
  <c r="K24" i="1" s="1"/>
  <c r="I25" i="1"/>
  <c r="K25" i="1" s="1"/>
  <c r="I26" i="1"/>
  <c r="K26" i="1" s="1"/>
  <c r="I27" i="1"/>
  <c r="K27" i="1" s="1"/>
  <c r="I28" i="1"/>
  <c r="K28" i="1" s="1"/>
  <c r="I29" i="1"/>
  <c r="K29" i="1" s="1"/>
  <c r="I30" i="1"/>
  <c r="K30" i="1" s="1"/>
  <c r="I31" i="1"/>
  <c r="K31" i="1" s="1"/>
  <c r="I32" i="1"/>
  <c r="K32" i="1" s="1"/>
  <c r="I33" i="1"/>
  <c r="K33" i="1" s="1"/>
  <c r="I34" i="1"/>
  <c r="K34" i="1" s="1"/>
  <c r="I35" i="1"/>
  <c r="K35" i="1" s="1"/>
  <c r="I36" i="1"/>
  <c r="K36" i="1" s="1"/>
  <c r="I37" i="1"/>
  <c r="K37" i="1" s="1"/>
  <c r="I38" i="1"/>
  <c r="K38" i="1" s="1"/>
  <c r="I39" i="1"/>
  <c r="K39" i="1" s="1"/>
  <c r="I40" i="1"/>
  <c r="K40" i="1" s="1"/>
  <c r="I41" i="1"/>
  <c r="K41" i="1" s="1"/>
  <c r="I42" i="1"/>
  <c r="K42" i="1" s="1"/>
  <c r="I43" i="1"/>
  <c r="K43" i="1" s="1"/>
  <c r="I44" i="1"/>
  <c r="K44" i="1" s="1"/>
  <c r="I45" i="1"/>
  <c r="K45" i="1" s="1"/>
  <c r="H31" i="1"/>
  <c r="L31" i="1" s="1"/>
  <c r="H32" i="1"/>
  <c r="L32" i="1" s="1"/>
  <c r="H33" i="1"/>
  <c r="L33" i="1" s="1"/>
  <c r="H34" i="1"/>
  <c r="L34" i="1" s="1"/>
  <c r="H35" i="1"/>
  <c r="L35" i="1" s="1"/>
  <c r="H36" i="1"/>
  <c r="L36" i="1" s="1"/>
  <c r="H37" i="1"/>
  <c r="L37" i="1" s="1"/>
  <c r="H38" i="1"/>
  <c r="L38" i="1" s="1"/>
  <c r="H39" i="1"/>
  <c r="L39" i="1" s="1"/>
  <c r="H40" i="1"/>
  <c r="L40" i="1" s="1"/>
  <c r="H41" i="1"/>
  <c r="L41" i="1" s="1"/>
  <c r="H42" i="1"/>
  <c r="L42" i="1" s="1"/>
  <c r="H43" i="1"/>
  <c r="L43" i="1" s="1"/>
  <c r="H44" i="1"/>
  <c r="L44" i="1" s="1"/>
  <c r="H45" i="1"/>
  <c r="L45" i="1" s="1"/>
  <c r="H3" i="1"/>
  <c r="L3" i="1" s="1"/>
  <c r="H4" i="1"/>
  <c r="L4" i="1" s="1"/>
  <c r="H5" i="1"/>
  <c r="L5" i="1" s="1"/>
  <c r="H6" i="1"/>
  <c r="L6" i="1" s="1"/>
  <c r="H7" i="1"/>
  <c r="L7" i="1" s="1"/>
  <c r="H8" i="1"/>
  <c r="L8" i="1" s="1"/>
  <c r="H9" i="1"/>
  <c r="L9" i="1" s="1"/>
  <c r="H10" i="1"/>
  <c r="L10" i="1" s="1"/>
  <c r="H11" i="1"/>
  <c r="L11" i="1" s="1"/>
  <c r="H12" i="1"/>
  <c r="L12" i="1" s="1"/>
  <c r="H13" i="1"/>
  <c r="L13" i="1" s="1"/>
  <c r="H14" i="1"/>
  <c r="L14" i="1" s="1"/>
  <c r="H15" i="1"/>
  <c r="L15" i="1" s="1"/>
  <c r="H16" i="1"/>
  <c r="L16" i="1" s="1"/>
  <c r="H17" i="1"/>
  <c r="L17" i="1" s="1"/>
  <c r="H18" i="1"/>
  <c r="L18" i="1" s="1"/>
  <c r="H19" i="1"/>
  <c r="L19" i="1" s="1"/>
  <c r="H22" i="1"/>
  <c r="L22" i="1" s="1"/>
  <c r="H23" i="1"/>
  <c r="L23" i="1" s="1"/>
  <c r="H24" i="1"/>
  <c r="L24" i="1" s="1"/>
  <c r="H25" i="1"/>
  <c r="L25" i="1" s="1"/>
  <c r="H26" i="1"/>
  <c r="L26" i="1" s="1"/>
  <c r="H27" i="1"/>
  <c r="L27" i="1" s="1"/>
  <c r="H28" i="1"/>
  <c r="L28" i="1" s="1"/>
  <c r="H29" i="1"/>
  <c r="L29" i="1" s="1"/>
  <c r="H30" i="1"/>
  <c r="L30" i="1" s="1"/>
</calcChain>
</file>

<file path=xl/sharedStrings.xml><?xml version="1.0" encoding="utf-8"?>
<sst xmlns="http://schemas.openxmlformats.org/spreadsheetml/2006/main" count="177" uniqueCount="30">
  <si>
    <t>OrderID</t>
  </si>
  <si>
    <t>Date</t>
  </si>
  <si>
    <t>Region</t>
  </si>
  <si>
    <t>Product</t>
  </si>
  <si>
    <t>Category</t>
  </si>
  <si>
    <t>Quantity</t>
  </si>
  <si>
    <t>Unit Price</t>
  </si>
  <si>
    <t>South</t>
  </si>
  <si>
    <t>Laptop</t>
  </si>
  <si>
    <t>Electronics</t>
  </si>
  <si>
    <t>North</t>
  </si>
  <si>
    <t>Office Chair</t>
  </si>
  <si>
    <t>Furniture</t>
  </si>
  <si>
    <t>West</t>
  </si>
  <si>
    <t>Smartphone</t>
  </si>
  <si>
    <t>East</t>
  </si>
  <si>
    <t>Office Desk</t>
  </si>
  <si>
    <t>Headphones</t>
  </si>
  <si>
    <t>Accessories</t>
  </si>
  <si>
    <t>Total Sales</t>
  </si>
  <si>
    <t>Month</t>
  </si>
  <si>
    <t>Year</t>
  </si>
  <si>
    <t>Row Labels</t>
  </si>
  <si>
    <t>Grand Total</t>
  </si>
  <si>
    <t>Sum of Total Sales</t>
  </si>
  <si>
    <t>Jan</t>
  </si>
  <si>
    <t>Feb</t>
  </si>
  <si>
    <t>Quarter</t>
  </si>
  <si>
    <t>Profit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</si>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</sst>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0"/>
    <numFmt numFmtId="166" formatCode="[$-F800]dddd\,\ mmmm\ dd\,\ yyyy"/>
    <numFmt numFmtId="167" formatCode="&quot;₹&quot;\ #,##0.00"/>
  </numFmts>
  <fonts count="3" x14ac:knownFonts="1">
    <font>
      <sz val="11"/>
      <color theme="1"/>
      <name val="Calibri"/>
      <family val="2"/>
      <scheme val="minor"/>
    </font>
    <font>
      <b/>
      <sz val="11"/>
      <name val="Calibri"/>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166" fontId="1" fillId="0" borderId="1" xfId="0" applyNumberFormat="1" applyFont="1" applyBorder="1" applyAlignment="1">
      <alignment horizontal="center" vertical="top"/>
    </xf>
    <xf numFmtId="2" fontId="1" fillId="0" borderId="1" xfId="0" applyNumberFormat="1" applyFont="1" applyBorder="1" applyAlignment="1">
      <alignment horizontal="center" vertical="top"/>
    </xf>
    <xf numFmtId="167" fontId="1" fillId="0" borderId="1" xfId="0" applyNumberFormat="1" applyFont="1" applyBorder="1" applyAlignment="1">
      <alignment horizontal="center" vertical="top"/>
    </xf>
    <xf numFmtId="167"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5">
    <dxf>
      <numFmt numFmtId="167" formatCode="&quot;₹&quot;\ #,##0.00"/>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FFF4E5"/>
      <color rgb="FFEAF2F8"/>
      <color rgb="FFE8F5E9"/>
      <color rgb="FFF3E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[Sample_Sales_Data(AutoRecovered).xlsx]Pivot_RegionalSales!PivotTable1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Regional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Pivot_RegionalSales!$B$3</c:f>
              <c:strCache>
                <c:ptCount val="1"/>
                <c:pt idx="0">
                  <c:v>Total</c:v>
                </c:pt>
              </c:strCache>
            </c:strRef>
          </c:tx>
          <c:spPr>
            <a:solidFill>
              <a:schemeClr val="accent1"/>
            </a:solidFill>
            <a:ln>
              <a:noFill/>
            </a:ln>
            <a:effectLst/>
            <a:sp3d/>
          </c:spPr>
          <c:invertIfNegative val="0"/>
          <c:cat>
            <c:strRef>
              <c:f>Pivot_RegionalSales!$A$4:$A$8</c:f>
              <c:strCache>
                <c:ptCount val="4"/>
                <c:pt idx="0">
                  <c:v>West</c:v>
                </c:pt>
                <c:pt idx="1">
                  <c:v>South</c:v>
                </c:pt>
                <c:pt idx="2">
                  <c:v>East</c:v>
                </c:pt>
                <c:pt idx="3">
                  <c:v>North</c:v>
                </c:pt>
              </c:strCache>
            </c:strRef>
          </c:cat>
          <c:val>
            <c:numRef>
              <c:f>Pivot_RegionalSales!$B$4:$B$8</c:f>
              <c:numCache>
                <c:formatCode>"₹"\ #,##0.00</c:formatCode>
                <c:ptCount val="4"/>
                <c:pt idx="0">
                  <c:v>514500</c:v>
                </c:pt>
                <c:pt idx="1">
                  <c:v>417000</c:v>
                </c:pt>
                <c:pt idx="2">
                  <c:v>315000</c:v>
                </c:pt>
                <c:pt idx="3">
                  <c:v>306000</c:v>
                </c:pt>
              </c:numCache>
            </c:numRef>
          </c:val>
          <c:extLst>
            <c:ext xmlns:c16="http://schemas.microsoft.com/office/drawing/2014/chart" uri="{C3380CC4-5D6E-409C-BE32-E72D297353CC}">
              <c16:uniqueId val="{00000000-9F0A-400E-9ECE-E115BFBFF310}"/>
            </c:ext>
          </c:extLst>
        </c:ser>
        <c:dLbls>
          <c:showLegendKey val="0"/>
          <c:showVal val="0"/>
          <c:showCatName val="0"/>
          <c:showSerName val="0"/>
          <c:showPercent val="0"/>
          <c:showBubbleSize val="0"/>
        </c:dLbls>
        <c:gapWidth val="150"/>
        <c:shape val="box"/>
        <c:axId val="1164652783"/>
        <c:axId val="1101901487"/>
        <c:axId val="0"/>
      </c:bar3DChart>
      <c:catAx>
        <c:axId val="1164652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901487"/>
        <c:crosses val="autoZero"/>
        <c:auto val="1"/>
        <c:lblAlgn val="ctr"/>
        <c:lblOffset val="100"/>
        <c:noMultiLvlLbl val="0"/>
      </c:catAx>
      <c:valAx>
        <c:axId val="11019014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65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Monthly Sales Performance</a:t>
            </a: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Year</c:v>
          </c:tx>
          <c:spPr>
            <a:solidFill>
              <a:schemeClr val="accent1"/>
            </a:solidFill>
            <a:ln>
              <a:noFill/>
            </a:ln>
            <a:effectLst/>
          </c:spPr>
          <c:invertIfNegative val="0"/>
          <c:cat>
            <c:strLit>
              <c:ptCount val="2"/>
              <c:pt idx="0">
                <c:v>Jan</c:v>
              </c:pt>
              <c:pt idx="1">
                <c:v>Feb</c:v>
              </c:pt>
            </c:strLit>
          </c:cat>
          <c:val>
            <c:numLit>
              <c:formatCode>General</c:formatCode>
              <c:ptCount val="2"/>
              <c:pt idx="0">
                <c:v>50625</c:v>
              </c:pt>
              <c:pt idx="1">
                <c:v>38475</c:v>
              </c:pt>
            </c:numLit>
          </c:val>
          <c:extLst>
            <c:ext xmlns:c16="http://schemas.microsoft.com/office/drawing/2014/chart" uri="{C3380CC4-5D6E-409C-BE32-E72D297353CC}">
              <c16:uniqueId val="{00000000-148B-4498-B28D-74852C46B73A}"/>
            </c:ext>
          </c:extLst>
        </c:ser>
        <c:ser>
          <c:idx val="1"/>
          <c:order val="1"/>
          <c:tx>
            <c:v>Sum of Total Sales</c:v>
          </c:tx>
          <c:spPr>
            <a:solidFill>
              <a:schemeClr val="accent3"/>
            </a:solidFill>
            <a:ln>
              <a:noFill/>
            </a:ln>
            <a:effectLst/>
          </c:spPr>
          <c:invertIfNegative val="0"/>
          <c:cat>
            <c:strLit>
              <c:ptCount val="2"/>
              <c:pt idx="0">
                <c:v>Jan</c:v>
              </c:pt>
              <c:pt idx="1">
                <c:v>Feb</c:v>
              </c:pt>
            </c:strLit>
          </c:cat>
          <c:val>
            <c:numLit>
              <c:formatCode>General</c:formatCode>
              <c:ptCount val="2"/>
              <c:pt idx="0">
                <c:v>925500</c:v>
              </c:pt>
              <c:pt idx="1">
                <c:v>627000</c:v>
              </c:pt>
            </c:numLit>
          </c:val>
          <c:extLst>
            <c:ext xmlns:c16="http://schemas.microsoft.com/office/drawing/2014/chart" uri="{C3380CC4-5D6E-409C-BE32-E72D297353CC}">
              <c16:uniqueId val="{00000001-148B-4498-B28D-74852C46B73A}"/>
            </c:ext>
          </c:extLst>
        </c:ser>
        <c:dLbls>
          <c:showLegendKey val="0"/>
          <c:showVal val="0"/>
          <c:showCatName val="0"/>
          <c:showSerName val="0"/>
          <c:showPercent val="0"/>
          <c:showBubbleSize val="0"/>
        </c:dLbls>
        <c:gapWidth val="219"/>
        <c:overlap val="-27"/>
        <c:axId val="1103087759"/>
        <c:axId val="1101957647"/>
      </c:barChart>
      <c:catAx>
        <c:axId val="110308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957647"/>
        <c:crosses val="autoZero"/>
        <c:auto val="1"/>
        <c:lblAlgn val="ctr"/>
        <c:lblOffset val="100"/>
        <c:noMultiLvlLbl val="0"/>
      </c:catAx>
      <c:valAx>
        <c:axId val="1101957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08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[Sample_Sales_Data(AutoRecovered).xlsx]Sales by Category!PivotTable2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Category'!$A$4:$A$7</c:f>
              <c:strCache>
                <c:ptCount val="3"/>
                <c:pt idx="0">
                  <c:v>Electronics</c:v>
                </c:pt>
                <c:pt idx="1">
                  <c:v>Furniture</c:v>
                </c:pt>
                <c:pt idx="2">
                  <c:v>Accessories</c:v>
                </c:pt>
              </c:strCache>
            </c:strRef>
          </c:cat>
          <c:val>
            <c:numRef>
              <c:f>'Sales by Category'!$B$4:$B$7</c:f>
              <c:numCache>
                <c:formatCode>"₹"\ #,##0.00</c:formatCode>
                <c:ptCount val="3"/>
                <c:pt idx="0">
                  <c:v>1125000</c:v>
                </c:pt>
                <c:pt idx="1">
                  <c:v>309000</c:v>
                </c:pt>
                <c:pt idx="2">
                  <c:v>118500</c:v>
                </c:pt>
              </c:numCache>
            </c:numRef>
          </c:val>
          <c:extLst>
            <c:ext xmlns:c16="http://schemas.microsoft.com/office/drawing/2014/chart" uri="{C3380CC4-5D6E-409C-BE32-E72D297353CC}">
              <c16:uniqueId val="{00000000-8ACD-46F3-B7C9-2F7A7401FCF2}"/>
            </c:ext>
          </c:extLst>
        </c:ser>
        <c:dLbls>
          <c:dLblPos val="inEnd"/>
          <c:showLegendKey val="0"/>
          <c:showVal val="1"/>
          <c:showCatName val="0"/>
          <c:showSerName val="0"/>
          <c:showPercent val="0"/>
          <c:showBubbleSize val="0"/>
        </c:dLbls>
        <c:gapWidth val="65"/>
        <c:axId val="1103081263"/>
        <c:axId val="1101935087"/>
      </c:barChart>
      <c:catAx>
        <c:axId val="11030812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01935087"/>
        <c:crosses val="autoZero"/>
        <c:auto val="1"/>
        <c:lblAlgn val="ctr"/>
        <c:lblOffset val="100"/>
        <c:noMultiLvlLbl val="0"/>
      </c:catAx>
      <c:valAx>
        <c:axId val="11019350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0308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[Sample_Sales_Data(AutoRecovered).xlsx]Sales by Month!PivotTable20</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Sales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Month'!$B$3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'Sales by Month'!$A$4:$A$6</c:f>
              <c:strCache>
                <c:ptCount val="2"/>
                <c:pt idx="0">
                  <c:v>Jan</c:v>
                </c:pt>
                <c:pt idx="1">
                  <c:v>Feb</c:v>
                </c:pt>
              </c:strCache>
            </c:strRef>
          </c:cat>
          <c:val>
            <c:numRef>
              <c:f>'Sales by Month'!$B$4:$B$6</c:f>
              <c:numCache>
                <c:formatCode>"₹"\ #,##0.00</c:formatCode>
                <c:ptCount val="2"/>
                <c:pt idx="0">
                  <c:v>925500</c:v>
                </c:pt>
                <c:pt idx="1">
                  <c:v>627000</c:v>
                </c:pt>
              </c:numCache>
            </c:numRef>
          </c:val>
          <c:smooth val="0"/>
          <c:extLst>
            <c:ext xmlns:c16="http://schemas.microsoft.com/office/drawing/2014/chart" uri="{C3380CC4-5D6E-409C-BE32-E72D297353CC}">
              <c16:uniqueId val="{00000000-E52A-4A6E-95C7-94CAC1E7447E}"/>
            </c:ext>
          </c:extLst>
        </c:ser>
        <c:dLbls>
          <c:showLegendKey val="0"/>
          <c:showVal val="0"/>
          <c:showCatName val="0"/>
          <c:showSerName val="0"/>
          <c:showPercent val="0"/>
          <c:showBubbleSize val="0"/>
        </c:dLbls>
        <c:marker val="1"/>
        <c:smooth val="0"/>
        <c:axId val="1226636111"/>
        <c:axId val="1101930767"/>
      </c:lineChart>
      <c:catAx>
        <c:axId val="12266361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930767"/>
        <c:crosses val="autoZero"/>
        <c:auto val="1"/>
        <c:lblAlgn val="ctr"/>
        <c:lblOffset val="100"/>
        <c:noMultiLvlLbl val="0"/>
      </c:catAx>
      <c:valAx>
        <c:axId val="11019307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63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25</xdr:col>
      <xdr:colOff>190500</xdr:colOff>
      <xdr:row>32</xdr:row>
      <xdr:rowOff>45720</xdr:rowOff>
    </xdr:to>
    <xdr:pic>
      <xdr:nvPicPr>
        <xdr:cNvPr id="3" name="Picture 2" descr="Underwater empty swimming pool">
          <a:extLst>
            <a:ext uri="{FF2B5EF4-FFF2-40B4-BE49-F238E27FC236}">
              <a16:creationId xmlns:a16="http://schemas.microsoft.com/office/drawing/2014/main" id="{CF04BF7D-B50A-A190-DF1D-0BE6C1D1C3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430500" cy="5897880"/>
        </a:xfrm>
        <a:prstGeom prst="rect">
          <a:avLst/>
        </a:prstGeom>
      </xdr:spPr>
    </xdr:pic>
    <xdr:clientData/>
  </xdr:twoCellAnchor>
  <xdr:twoCellAnchor>
    <xdr:from>
      <xdr:col>0</xdr:col>
      <xdr:colOff>22860</xdr:colOff>
      <xdr:row>3</xdr:row>
      <xdr:rowOff>152400</xdr:rowOff>
    </xdr:from>
    <xdr:to>
      <xdr:col>5</xdr:col>
      <xdr:colOff>594360</xdr:colOff>
      <xdr:row>15</xdr:row>
      <xdr:rowOff>7620</xdr:rowOff>
    </xdr:to>
    <xdr:graphicFrame macro="">
      <xdr:nvGraphicFramePr>
        <xdr:cNvPr id="7" name="Chart 6">
          <a:extLst>
            <a:ext uri="{FF2B5EF4-FFF2-40B4-BE49-F238E27FC236}">
              <a16:creationId xmlns:a16="http://schemas.microsoft.com/office/drawing/2014/main" id="{727CBCB3-B85A-45F7-8BF0-795AFA72C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259080</xdr:colOff>
      <xdr:row>0</xdr:row>
      <xdr:rowOff>95250</xdr:rowOff>
    </xdr:from>
    <xdr:to>
      <xdr:col>13</xdr:col>
      <xdr:colOff>480060</xdr:colOff>
      <xdr:row>3</xdr:row>
      <xdr:rowOff>53340</xdr:rowOff>
    </xdr:to>
    <xdr:sp macro="" textlink="">
      <xdr:nvSpPr>
        <xdr:cNvPr id="8" name="TextBox 7">
          <a:extLst>
            <a:ext uri="{FF2B5EF4-FFF2-40B4-BE49-F238E27FC236}">
              <a16:creationId xmlns:a16="http://schemas.microsoft.com/office/drawing/2014/main" id="{B3714228-EA71-8AD2-AF26-FFF00240481D}"/>
            </a:ext>
          </a:extLst>
        </xdr:cNvPr>
        <xdr:cNvSpPr txBox="1"/>
      </xdr:nvSpPr>
      <xdr:spPr>
        <a:xfrm>
          <a:off x="2087880" y="95250"/>
          <a:ext cx="6316980" cy="506730"/>
        </a:xfrm>
        <a:prstGeom prst="rect">
          <a:avLst/>
        </a:prstGeom>
        <a:solidFill>
          <a:srgbClr val="EAF2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latin typeface="Times New Roman" panose="02020603050405020304" pitchFamily="18" charset="0"/>
              <a:cs typeface="Times New Roman" panose="02020603050405020304" pitchFamily="18" charset="0"/>
            </a:rPr>
            <a:t>SALES PERFORMANCE DASHBOARD</a:t>
          </a:r>
        </a:p>
      </xdr:txBody>
    </xdr:sp>
    <xdr:clientData/>
  </xdr:twoCellAnchor>
  <xdr:oneCellAnchor>
    <xdr:from>
      <xdr:col>12</xdr:col>
      <xdr:colOff>243840</xdr:colOff>
      <xdr:row>13</xdr:row>
      <xdr:rowOff>167640</xdr:rowOff>
    </xdr:from>
    <xdr:ext cx="184731" cy="264560"/>
    <xdr:sp macro="" textlink="">
      <xdr:nvSpPr>
        <xdr:cNvPr id="9" name="TextBox 8">
          <a:extLst>
            <a:ext uri="{FF2B5EF4-FFF2-40B4-BE49-F238E27FC236}">
              <a16:creationId xmlns:a16="http://schemas.microsoft.com/office/drawing/2014/main" id="{E37F6658-94B0-C8B4-20B9-792E1144B4B7}"/>
            </a:ext>
          </a:extLst>
        </xdr:cNvPr>
        <xdr:cNvSpPr txBox="1"/>
      </xdr:nvSpPr>
      <xdr:spPr>
        <a:xfrm>
          <a:off x="7559040" y="2545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10</xdr:col>
      <xdr:colOff>472440</xdr:colOff>
      <xdr:row>3</xdr:row>
      <xdr:rowOff>160020</xdr:rowOff>
    </xdr:from>
    <xdr:to>
      <xdr:col>15</xdr:col>
      <xdr:colOff>533400</xdr:colOff>
      <xdr:row>15</xdr:row>
      <xdr:rowOff>0</xdr:rowOff>
    </xdr:to>
    <xdr:graphicFrame macro="">
      <xdr:nvGraphicFramePr>
        <xdr:cNvPr id="11" name="Chart 10">
          <a:extLst>
            <a:ext uri="{FF2B5EF4-FFF2-40B4-BE49-F238E27FC236}">
              <a16:creationId xmlns:a16="http://schemas.microsoft.com/office/drawing/2014/main" id="{0E96AB19-3DDE-45EB-9892-2DD915B41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xdr:colOff>
      <xdr:row>15</xdr:row>
      <xdr:rowOff>167640</xdr:rowOff>
    </xdr:from>
    <xdr:to>
      <xdr:col>10</xdr:col>
      <xdr:colOff>0</xdr:colOff>
      <xdr:row>27</xdr:row>
      <xdr:rowOff>91440</xdr:rowOff>
    </xdr:to>
    <xdr:graphicFrame macro="">
      <xdr:nvGraphicFramePr>
        <xdr:cNvPr id="12" name="Chart 11">
          <a:extLst>
            <a:ext uri="{FF2B5EF4-FFF2-40B4-BE49-F238E27FC236}">
              <a16:creationId xmlns:a16="http://schemas.microsoft.com/office/drawing/2014/main" id="{E5EBA82D-7981-4541-8419-CED62B21C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10</xdr:col>
      <xdr:colOff>137160</xdr:colOff>
      <xdr:row>16</xdr:row>
      <xdr:rowOff>0</xdr:rowOff>
    </xdr:from>
    <xdr:ext cx="1821180" cy="617220"/>
    <xdr:sp macro="" textlink="">
      <xdr:nvSpPr>
        <xdr:cNvPr id="15" name="TextBox 14">
          <a:extLst>
            <a:ext uri="{FF2B5EF4-FFF2-40B4-BE49-F238E27FC236}">
              <a16:creationId xmlns:a16="http://schemas.microsoft.com/office/drawing/2014/main" id="{EADDBE1D-8530-E05F-BAC3-977A4098E265}"/>
            </a:ext>
          </a:extLst>
        </xdr:cNvPr>
        <xdr:cNvSpPr txBox="1"/>
      </xdr:nvSpPr>
      <xdr:spPr>
        <a:xfrm>
          <a:off x="6233160" y="2926080"/>
          <a:ext cx="1821180" cy="617220"/>
        </a:xfrm>
        <a:prstGeom prst="rect">
          <a:avLst/>
        </a:prstGeom>
        <a:solidFill>
          <a:srgbClr val="F3E8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i="1">
              <a:solidFill>
                <a:sysClr val="windowText" lastClr="000000"/>
              </a:solidFill>
              <a:latin typeface="Times New Roman" panose="02020603050405020304" pitchFamily="18" charset="0"/>
              <a:cs typeface="Times New Roman" panose="02020603050405020304" pitchFamily="18" charset="0"/>
            </a:rPr>
            <a:t>TOTAL</a:t>
          </a:r>
          <a:r>
            <a:rPr lang="en-IN" sz="1600" b="1" i="1" baseline="0">
              <a:solidFill>
                <a:sysClr val="windowText" lastClr="000000"/>
              </a:solidFill>
              <a:latin typeface="Times New Roman" panose="02020603050405020304" pitchFamily="18" charset="0"/>
              <a:cs typeface="Times New Roman" panose="02020603050405020304" pitchFamily="18" charset="0"/>
            </a:rPr>
            <a:t> SALES:</a:t>
          </a:r>
        </a:p>
        <a:p>
          <a:r>
            <a:rPr lang="en-IN" sz="1600" b="1" i="1">
              <a:solidFill>
                <a:sysClr val="windowText" lastClr="000000"/>
              </a:solidFill>
              <a:latin typeface="Times New Roman" panose="02020603050405020304" pitchFamily="18" charset="0"/>
              <a:cs typeface="Times New Roman" panose="02020603050405020304" pitchFamily="18" charset="0"/>
            </a:rPr>
            <a:t>₹15,52,500</a:t>
          </a:r>
          <a:endParaRPr lang="en-IN" sz="1600" b="1" i="1" baseline="0">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oneCellAnchor>
    <xdr:from>
      <xdr:col>13</xdr:col>
      <xdr:colOff>342900</xdr:colOff>
      <xdr:row>16</xdr:row>
      <xdr:rowOff>7620</xdr:rowOff>
    </xdr:from>
    <xdr:ext cx="1927860" cy="617220"/>
    <xdr:sp macro="" textlink="">
      <xdr:nvSpPr>
        <xdr:cNvPr id="16" name="TextBox 15">
          <a:extLst>
            <a:ext uri="{FF2B5EF4-FFF2-40B4-BE49-F238E27FC236}">
              <a16:creationId xmlns:a16="http://schemas.microsoft.com/office/drawing/2014/main" id="{D9984CBA-50F5-F015-4417-15F72DCEF733}"/>
            </a:ext>
          </a:extLst>
        </xdr:cNvPr>
        <xdr:cNvSpPr txBox="1"/>
      </xdr:nvSpPr>
      <xdr:spPr>
        <a:xfrm>
          <a:off x="8267700" y="2933700"/>
          <a:ext cx="1927860" cy="617220"/>
        </a:xfrm>
        <a:prstGeom prst="rect">
          <a:avLst/>
        </a:prstGeom>
        <a:solidFill>
          <a:srgbClr val="E8F5E9"/>
        </a:solid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i="1">
              <a:latin typeface="Times New Roman" panose="02020603050405020304" pitchFamily="18" charset="0"/>
              <a:cs typeface="Times New Roman" panose="02020603050405020304" pitchFamily="18" charset="0"/>
            </a:rPr>
            <a:t>TOTAL ORDERS:</a:t>
          </a:r>
        </a:p>
        <a:p>
          <a:r>
            <a:rPr lang="en-IN" sz="1600" b="1" i="1">
              <a:latin typeface="Times New Roman" panose="02020603050405020304" pitchFamily="18" charset="0"/>
              <a:cs typeface="Times New Roman" panose="02020603050405020304" pitchFamily="18" charset="0"/>
            </a:rPr>
            <a:t>44</a:t>
          </a:r>
        </a:p>
      </xdr:txBody>
    </xdr:sp>
    <xdr:clientData/>
  </xdr:oneCellAnchor>
  <xdr:twoCellAnchor>
    <xdr:from>
      <xdr:col>6</xdr:col>
      <xdr:colOff>106680</xdr:colOff>
      <xdr:row>3</xdr:row>
      <xdr:rowOff>144780</xdr:rowOff>
    </xdr:from>
    <xdr:to>
      <xdr:col>10</xdr:col>
      <xdr:colOff>342900</xdr:colOff>
      <xdr:row>15</xdr:row>
      <xdr:rowOff>0</xdr:rowOff>
    </xdr:to>
    <xdr:graphicFrame macro="">
      <xdr:nvGraphicFramePr>
        <xdr:cNvPr id="18" name="Chart 17">
          <a:extLst>
            <a:ext uri="{FF2B5EF4-FFF2-40B4-BE49-F238E27FC236}">
              <a16:creationId xmlns:a16="http://schemas.microsoft.com/office/drawing/2014/main" id="{A88A2042-7315-4653-93B6-323C63B19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16</xdr:col>
      <xdr:colOff>518160</xdr:colOff>
      <xdr:row>0</xdr:row>
      <xdr:rowOff>0</xdr:rowOff>
    </xdr:from>
    <xdr:to>
      <xdr:col>19</xdr:col>
      <xdr:colOff>518160</xdr:colOff>
      <xdr:row>13</xdr:row>
      <xdr:rowOff>89535</xdr:rowOff>
    </xdr:to>
    <mc:AlternateContent xmlns:mc="http://schemas.openxmlformats.org/markup-compatibility/2006" xmlns:sle15="http://schemas.microsoft.com/office/drawing/2012/slicer">
      <mc:Choice Requires="sle15">
        <xdr:graphicFrame macro="">
          <xdr:nvGraphicFramePr>
            <xdr:cNvPr id="20" name="Region">
              <a:extLst>
                <a:ext uri="{FF2B5EF4-FFF2-40B4-BE49-F238E27FC236}">
                  <a16:creationId xmlns:a16="http://schemas.microsoft.com/office/drawing/2014/main" id="{789C9A10-DF40-4DF0-BDE3-20417E2BC9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27176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20</xdr:col>
      <xdr:colOff>167640</xdr:colOff>
      <xdr:row>0</xdr:row>
      <xdr:rowOff>0</xdr:rowOff>
    </xdr:from>
    <xdr:to>
      <xdr:col>23</xdr:col>
      <xdr:colOff>167640</xdr:colOff>
      <xdr:row>13</xdr:row>
      <xdr:rowOff>89535</xdr:rowOff>
    </xdr:to>
    <mc:AlternateContent xmlns:mc="http://schemas.openxmlformats.org/markup-compatibility/2006" xmlns:sle15="http://schemas.microsoft.com/office/drawing/2012/slicer">
      <mc:Choice Requires="sle15">
        <xdr:graphicFrame macro="">
          <xdr:nvGraphicFramePr>
            <xdr:cNvPr id="21" name="Category">
              <a:extLst>
                <a:ext uri="{FF2B5EF4-FFF2-40B4-BE49-F238E27FC236}">
                  <a16:creationId xmlns:a16="http://schemas.microsoft.com/office/drawing/2014/main" id="{6E592C66-9E11-435C-B896-DF91F0BEBE8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35964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18</xdr:col>
      <xdr:colOff>457200</xdr:colOff>
      <xdr:row>13</xdr:row>
      <xdr:rowOff>160020</xdr:rowOff>
    </xdr:from>
    <xdr:to>
      <xdr:col>21</xdr:col>
      <xdr:colOff>457200</xdr:colOff>
      <xdr:row>27</xdr:row>
      <xdr:rowOff>66675</xdr:rowOff>
    </xdr:to>
    <mc:AlternateContent xmlns:mc="http://schemas.openxmlformats.org/markup-compatibility/2006" xmlns:sle15="http://schemas.microsoft.com/office/drawing/2012/slicer">
      <mc:Choice Requires="sle15">
        <xdr:graphicFrame macro="">
          <xdr:nvGraphicFramePr>
            <xdr:cNvPr id="22" name="Year">
              <a:extLst>
                <a:ext uri="{FF2B5EF4-FFF2-40B4-BE49-F238E27FC236}">
                  <a16:creationId xmlns:a16="http://schemas.microsoft.com/office/drawing/2014/main" id="{62098ED0-11DA-46A0-B217-E74FB80301B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430000" y="2537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oneCellAnchor>
    <xdr:from>
      <xdr:col>10</xdr:col>
      <xdr:colOff>144780</xdr:colOff>
      <xdr:row>20</xdr:row>
      <xdr:rowOff>0</xdr:rowOff>
    </xdr:from>
    <xdr:ext cx="1813560" cy="594360"/>
    <xdr:sp macro="" textlink="">
      <xdr:nvSpPr>
        <xdr:cNvPr id="2" name="TextBox 1">
          <a:extLst>
            <a:ext uri="{FF2B5EF4-FFF2-40B4-BE49-F238E27FC236}">
              <a16:creationId xmlns:a16="http://schemas.microsoft.com/office/drawing/2014/main" id="{1A436FB1-D4F3-003B-844D-F4AA5C2135AA}"/>
            </a:ext>
          </a:extLst>
        </xdr:cNvPr>
        <xdr:cNvSpPr txBox="1"/>
      </xdr:nvSpPr>
      <xdr:spPr>
        <a:xfrm>
          <a:off x="6240780" y="3657600"/>
          <a:ext cx="1813560" cy="594360"/>
        </a:xfrm>
        <a:prstGeom prst="rect">
          <a:avLst/>
        </a:prstGeom>
        <a:solidFill>
          <a:srgbClr val="FFF4E5"/>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a:solidFill>
                <a:sysClr val="windowText" lastClr="000000"/>
              </a:solidFill>
              <a:latin typeface="Times New Roman" panose="02020603050405020304" pitchFamily="18" charset="0"/>
              <a:cs typeface="Times New Roman" panose="02020603050405020304" pitchFamily="18" charset="0"/>
            </a:rPr>
            <a:t>TOP REGION:</a:t>
          </a:r>
        </a:p>
        <a:p>
          <a:r>
            <a:rPr lang="en-IN" sz="1600" b="1">
              <a:solidFill>
                <a:sysClr val="windowText" lastClr="000000"/>
              </a:solidFill>
              <a:latin typeface="Times New Roman" panose="02020603050405020304" pitchFamily="18" charset="0"/>
              <a:cs typeface="Times New Roman" panose="02020603050405020304" pitchFamily="18" charset="0"/>
            </a:rPr>
            <a:t>West</a:t>
          </a:r>
        </a:p>
        <a:p>
          <a:endParaRPr lang="en-IN" sz="1100"/>
        </a:p>
      </xdr:txBody>
    </xdr:sp>
    <xdr:clientData/>
  </xdr:oneCellAnchor>
  <xdr:oneCellAnchor>
    <xdr:from>
      <xdr:col>13</xdr:col>
      <xdr:colOff>358140</xdr:colOff>
      <xdr:row>19</xdr:row>
      <xdr:rowOff>167640</xdr:rowOff>
    </xdr:from>
    <xdr:ext cx="1911677" cy="624840"/>
    <xdr:sp macro="" textlink="">
      <xdr:nvSpPr>
        <xdr:cNvPr id="4" name="TextBox 3">
          <a:extLst>
            <a:ext uri="{FF2B5EF4-FFF2-40B4-BE49-F238E27FC236}">
              <a16:creationId xmlns:a16="http://schemas.microsoft.com/office/drawing/2014/main" id="{747341A9-2220-3C90-7A0F-45AA1C56B969}"/>
            </a:ext>
          </a:extLst>
        </xdr:cNvPr>
        <xdr:cNvSpPr txBox="1"/>
      </xdr:nvSpPr>
      <xdr:spPr>
        <a:xfrm>
          <a:off x="8282940" y="3642360"/>
          <a:ext cx="1911677" cy="624840"/>
        </a:xfrm>
        <a:prstGeom prst="rect">
          <a:avLst/>
        </a:prstGeom>
        <a:solidFill>
          <a:srgbClr val="EAF2F8"/>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a:latin typeface="Times New Roman" panose="02020603050405020304" pitchFamily="18" charset="0"/>
              <a:cs typeface="Times New Roman" panose="02020603050405020304" pitchFamily="18" charset="0"/>
            </a:rPr>
            <a:t>TOP CATEGORY:</a:t>
          </a:r>
        </a:p>
        <a:p>
          <a:r>
            <a:rPr lang="en-IN" sz="1600" b="1">
              <a:latin typeface="Times New Roman" panose="02020603050405020304" pitchFamily="18" charset="0"/>
              <a:cs typeface="Times New Roman" panose="02020603050405020304" pitchFamily="18" charset="0"/>
            </a:rPr>
            <a:t>Electronics</a:t>
          </a:r>
        </a:p>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11.922098726849" createdVersion="8" refreshedVersion="8" minRefreshableVersion="3" recordCount="44" xr:uid="{A500D724-BFF7-45FA-81B7-2F3553FC667B}">
  <cacheSource type="worksheet">
    <worksheetSource name="RawSales"/>
  </cacheSource>
  <cacheFields count="10">
    <cacheField name="OrderID" numFmtId="0">
      <sharedItems containsSemiMixedTypes="0" containsString="0" containsNumber="1" containsInteger="1" minValue="1001" maxValue="1044"/>
    </cacheField>
    <cacheField name="Date" numFmtId="164">
      <sharedItems containsSemiMixedTypes="0" containsNonDate="0" containsDate="1" containsString="0" minDate="2025-01-05T00:00:00" maxDate="2025-02-20T00:00:00"/>
    </cacheField>
    <cacheField name="Region" numFmtId="0">
      <sharedItems count="4">
        <s v="South"/>
        <s v="North"/>
        <s v="West"/>
        <s v="East"/>
      </sharedItems>
    </cacheField>
    <cacheField name="Product" numFmtId="0">
      <sharedItems count="5">
        <s v="Laptop"/>
        <s v="Office Chair"/>
        <s v="Smartphone"/>
        <s v="Office Desk"/>
        <s v="Headphones"/>
      </sharedItems>
    </cacheField>
    <cacheField name="Category" numFmtId="0">
      <sharedItems count="3">
        <s v="Electronics"/>
        <s v="Furniture"/>
        <s v="Accessories"/>
      </sharedItems>
    </cacheField>
    <cacheField name="Quantity" numFmtId="0">
      <sharedItems containsSemiMixedTypes="0" containsString="0" containsNumber="1" containsInteger="1" minValue="1" maxValue="15"/>
    </cacheField>
    <cacheField name="Unit Price" numFmtId="165">
      <sharedItems containsSemiMixedTypes="0" containsString="0" containsNumber="1" containsInteger="1" minValue="1500" maxValue="45000"/>
    </cacheField>
    <cacheField name="Total Sales" numFmtId="167">
      <sharedItems containsSemiMixedTypes="0" containsString="0" containsNumber="1" containsInteger="1" minValue="7500" maxValue="90000"/>
    </cacheField>
    <cacheField name="Month" numFmtId="0">
      <sharedItems count="2">
        <s v="Jan"/>
        <s v="Feb"/>
      </sharedItems>
    </cacheField>
    <cacheField name="Year" numFmtId="0">
      <sharedItems containsSemiMixedTypes="0" containsString="0" containsNumber="1" containsInteger="1" minValue="2025" maxValue="2025" count="1">
        <n v="202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
  <r>
    <n v="1001"/>
    <d v="2025-01-05T00:00:00"/>
    <x v="0"/>
    <x v="0"/>
    <x v="0"/>
    <n v="2"/>
    <n v="45000"/>
    <n v="90000"/>
    <x v="0"/>
    <x v="0"/>
  </r>
  <r>
    <n v="1002"/>
    <d v="2025-01-08T00:00:00"/>
    <x v="1"/>
    <x v="1"/>
    <x v="1"/>
    <n v="5"/>
    <n v="3000"/>
    <n v="15000"/>
    <x v="0"/>
    <x v="0"/>
  </r>
  <r>
    <n v="1003"/>
    <d v="2025-01-09T00:00:00"/>
    <x v="2"/>
    <x v="2"/>
    <x v="0"/>
    <n v="3"/>
    <n v="18000"/>
    <n v="54000"/>
    <x v="0"/>
    <x v="0"/>
  </r>
  <r>
    <n v="1004"/>
    <d v="2025-01-10T00:00:00"/>
    <x v="3"/>
    <x v="3"/>
    <x v="1"/>
    <n v="2"/>
    <n v="7500"/>
    <n v="15000"/>
    <x v="0"/>
    <x v="0"/>
  </r>
  <r>
    <n v="1005"/>
    <d v="2025-01-11T00:00:00"/>
    <x v="0"/>
    <x v="4"/>
    <x v="2"/>
    <n v="10"/>
    <n v="1500"/>
    <n v="15000"/>
    <x v="0"/>
    <x v="0"/>
  </r>
  <r>
    <n v="1006"/>
    <d v="2025-01-12T00:00:00"/>
    <x v="1"/>
    <x v="0"/>
    <x v="0"/>
    <n v="1"/>
    <n v="45000"/>
    <n v="45000"/>
    <x v="0"/>
    <x v="0"/>
  </r>
  <r>
    <n v="1007"/>
    <d v="2025-01-13T00:00:00"/>
    <x v="2"/>
    <x v="1"/>
    <x v="1"/>
    <n v="4"/>
    <n v="3000"/>
    <n v="12000"/>
    <x v="0"/>
    <x v="0"/>
  </r>
  <r>
    <n v="1008"/>
    <d v="2025-01-14T00:00:00"/>
    <x v="3"/>
    <x v="2"/>
    <x v="0"/>
    <n v="2"/>
    <n v="18000"/>
    <n v="36000"/>
    <x v="0"/>
    <x v="0"/>
  </r>
  <r>
    <n v="1009"/>
    <d v="2025-01-15T00:00:00"/>
    <x v="0"/>
    <x v="3"/>
    <x v="1"/>
    <n v="3"/>
    <n v="7500"/>
    <n v="22500"/>
    <x v="0"/>
    <x v="0"/>
  </r>
  <r>
    <n v="1010"/>
    <d v="2025-01-16T00:00:00"/>
    <x v="1"/>
    <x v="4"/>
    <x v="2"/>
    <n v="8"/>
    <n v="1500"/>
    <n v="12000"/>
    <x v="0"/>
    <x v="0"/>
  </r>
  <r>
    <n v="1011"/>
    <d v="2025-01-17T00:00:00"/>
    <x v="2"/>
    <x v="0"/>
    <x v="0"/>
    <n v="2"/>
    <n v="45000"/>
    <n v="90000"/>
    <x v="0"/>
    <x v="0"/>
  </r>
  <r>
    <n v="1012"/>
    <d v="2025-01-18T00:00:00"/>
    <x v="3"/>
    <x v="1"/>
    <x v="1"/>
    <n v="6"/>
    <n v="3000"/>
    <n v="18000"/>
    <x v="0"/>
    <x v="0"/>
  </r>
  <r>
    <n v="1013"/>
    <d v="2025-01-19T00:00:00"/>
    <x v="0"/>
    <x v="2"/>
    <x v="0"/>
    <n v="4"/>
    <n v="18000"/>
    <n v="72000"/>
    <x v="0"/>
    <x v="0"/>
  </r>
  <r>
    <n v="1014"/>
    <d v="2025-01-20T00:00:00"/>
    <x v="1"/>
    <x v="3"/>
    <x v="1"/>
    <n v="1"/>
    <n v="7500"/>
    <n v="7500"/>
    <x v="0"/>
    <x v="0"/>
  </r>
  <r>
    <n v="1015"/>
    <d v="2025-01-21T00:00:00"/>
    <x v="2"/>
    <x v="4"/>
    <x v="2"/>
    <n v="12"/>
    <n v="1500"/>
    <n v="18000"/>
    <x v="0"/>
    <x v="0"/>
  </r>
  <r>
    <n v="1016"/>
    <d v="2025-01-22T00:00:00"/>
    <x v="3"/>
    <x v="0"/>
    <x v="0"/>
    <n v="1"/>
    <n v="45000"/>
    <n v="45000"/>
    <x v="0"/>
    <x v="0"/>
  </r>
  <r>
    <n v="1017"/>
    <d v="2025-01-23T00:00:00"/>
    <x v="0"/>
    <x v="1"/>
    <x v="1"/>
    <n v="7"/>
    <n v="3000"/>
    <n v="21000"/>
    <x v="0"/>
    <x v="0"/>
  </r>
  <r>
    <n v="1018"/>
    <d v="2025-01-24T00:00:00"/>
    <x v="1"/>
    <x v="2"/>
    <x v="0"/>
    <n v="2"/>
    <n v="18000"/>
    <n v="36000"/>
    <x v="0"/>
    <x v="0"/>
  </r>
  <r>
    <n v="1019"/>
    <d v="2025-01-25T00:00:00"/>
    <x v="2"/>
    <x v="3"/>
    <x v="1"/>
    <n v="4"/>
    <n v="7500"/>
    <n v="30000"/>
    <x v="0"/>
    <x v="0"/>
  </r>
  <r>
    <n v="1020"/>
    <d v="2025-01-26T00:00:00"/>
    <x v="3"/>
    <x v="4"/>
    <x v="2"/>
    <n v="15"/>
    <n v="1500"/>
    <n v="22500"/>
    <x v="0"/>
    <x v="0"/>
  </r>
  <r>
    <n v="1021"/>
    <d v="2025-01-27T00:00:00"/>
    <x v="0"/>
    <x v="0"/>
    <x v="0"/>
    <n v="1"/>
    <n v="45000"/>
    <n v="45000"/>
    <x v="0"/>
    <x v="0"/>
  </r>
  <r>
    <n v="1022"/>
    <d v="2025-01-28T00:00:00"/>
    <x v="1"/>
    <x v="1"/>
    <x v="1"/>
    <n v="3"/>
    <n v="3000"/>
    <n v="9000"/>
    <x v="0"/>
    <x v="0"/>
  </r>
  <r>
    <n v="1023"/>
    <d v="2025-01-29T00:00:00"/>
    <x v="2"/>
    <x v="2"/>
    <x v="0"/>
    <n v="5"/>
    <n v="18000"/>
    <n v="90000"/>
    <x v="0"/>
    <x v="0"/>
  </r>
  <r>
    <n v="1024"/>
    <d v="2025-01-30T00:00:00"/>
    <x v="3"/>
    <x v="3"/>
    <x v="1"/>
    <n v="2"/>
    <n v="7500"/>
    <n v="15000"/>
    <x v="0"/>
    <x v="0"/>
  </r>
  <r>
    <n v="1025"/>
    <d v="2025-01-31T00:00:00"/>
    <x v="1"/>
    <x v="0"/>
    <x v="0"/>
    <n v="2"/>
    <n v="45000"/>
    <n v="90000"/>
    <x v="0"/>
    <x v="0"/>
  </r>
  <r>
    <n v="1026"/>
    <d v="2025-02-01T00:00:00"/>
    <x v="0"/>
    <x v="4"/>
    <x v="2"/>
    <n v="9"/>
    <n v="1500"/>
    <n v="13500"/>
    <x v="1"/>
    <x v="0"/>
  </r>
  <r>
    <n v="1027"/>
    <d v="2025-02-02T00:00:00"/>
    <x v="3"/>
    <x v="2"/>
    <x v="0"/>
    <n v="3"/>
    <n v="18000"/>
    <n v="54000"/>
    <x v="1"/>
    <x v="0"/>
  </r>
  <r>
    <n v="1028"/>
    <d v="2025-02-03T00:00:00"/>
    <x v="2"/>
    <x v="1"/>
    <x v="1"/>
    <n v="5"/>
    <n v="3000"/>
    <n v="15000"/>
    <x v="1"/>
    <x v="0"/>
  </r>
  <r>
    <n v="1029"/>
    <d v="2025-02-04T00:00:00"/>
    <x v="1"/>
    <x v="3"/>
    <x v="1"/>
    <n v="3"/>
    <n v="7500"/>
    <n v="22500"/>
    <x v="1"/>
    <x v="0"/>
  </r>
  <r>
    <n v="1030"/>
    <d v="2025-02-05T00:00:00"/>
    <x v="0"/>
    <x v="0"/>
    <x v="0"/>
    <n v="1"/>
    <n v="45000"/>
    <n v="45000"/>
    <x v="1"/>
    <x v="0"/>
  </r>
  <r>
    <n v="1031"/>
    <d v="2025-02-06T00:00:00"/>
    <x v="3"/>
    <x v="4"/>
    <x v="2"/>
    <n v="11"/>
    <n v="1500"/>
    <n v="16500"/>
    <x v="1"/>
    <x v="0"/>
  </r>
  <r>
    <n v="1032"/>
    <d v="2025-02-07T00:00:00"/>
    <x v="2"/>
    <x v="2"/>
    <x v="0"/>
    <n v="4"/>
    <n v="18000"/>
    <n v="72000"/>
    <x v="1"/>
    <x v="0"/>
  </r>
  <r>
    <n v="1033"/>
    <d v="2025-02-08T00:00:00"/>
    <x v="0"/>
    <x v="3"/>
    <x v="1"/>
    <n v="2"/>
    <n v="7500"/>
    <n v="15000"/>
    <x v="1"/>
    <x v="0"/>
  </r>
  <r>
    <n v="1034"/>
    <d v="2025-02-09T00:00:00"/>
    <x v="1"/>
    <x v="1"/>
    <x v="1"/>
    <n v="6"/>
    <n v="3000"/>
    <n v="18000"/>
    <x v="1"/>
    <x v="0"/>
  </r>
  <r>
    <n v="1035"/>
    <d v="2025-02-10T00:00:00"/>
    <x v="3"/>
    <x v="0"/>
    <x v="0"/>
    <n v="1"/>
    <n v="45000"/>
    <n v="45000"/>
    <x v="1"/>
    <x v="0"/>
  </r>
  <r>
    <n v="1036"/>
    <d v="2025-02-11T00:00:00"/>
    <x v="2"/>
    <x v="4"/>
    <x v="2"/>
    <n v="14"/>
    <n v="1500"/>
    <n v="21000"/>
    <x v="1"/>
    <x v="0"/>
  </r>
  <r>
    <n v="1037"/>
    <d v="2025-02-12T00:00:00"/>
    <x v="0"/>
    <x v="2"/>
    <x v="0"/>
    <n v="3"/>
    <n v="18000"/>
    <n v="54000"/>
    <x v="1"/>
    <x v="0"/>
  </r>
  <r>
    <n v="1038"/>
    <d v="2025-02-13T00:00:00"/>
    <x v="1"/>
    <x v="3"/>
    <x v="1"/>
    <n v="2"/>
    <n v="7500"/>
    <n v="15000"/>
    <x v="1"/>
    <x v="0"/>
  </r>
  <r>
    <n v="1039"/>
    <d v="2025-02-14T00:00:00"/>
    <x v="3"/>
    <x v="1"/>
    <x v="1"/>
    <n v="4"/>
    <n v="3000"/>
    <n v="12000"/>
    <x v="1"/>
    <x v="0"/>
  </r>
  <r>
    <n v="1040"/>
    <d v="2025-02-15T00:00:00"/>
    <x v="2"/>
    <x v="0"/>
    <x v="0"/>
    <n v="2"/>
    <n v="45000"/>
    <n v="90000"/>
    <x v="1"/>
    <x v="0"/>
  </r>
  <r>
    <n v="1041"/>
    <d v="2025-02-16T00:00:00"/>
    <x v="1"/>
    <x v="2"/>
    <x v="0"/>
    <n v="2"/>
    <n v="18000"/>
    <n v="36000"/>
    <x v="1"/>
    <x v="0"/>
  </r>
  <r>
    <n v="1042"/>
    <d v="2025-02-17T00:00:00"/>
    <x v="0"/>
    <x v="1"/>
    <x v="1"/>
    <n v="8"/>
    <n v="3000"/>
    <n v="24000"/>
    <x v="1"/>
    <x v="0"/>
  </r>
  <r>
    <n v="1043"/>
    <d v="2025-02-18T00:00:00"/>
    <x v="2"/>
    <x v="3"/>
    <x v="1"/>
    <n v="3"/>
    <n v="7500"/>
    <n v="22500"/>
    <x v="1"/>
    <x v="0"/>
  </r>
  <r>
    <n v="1044"/>
    <d v="2025-02-19T00:00:00"/>
    <x v="3"/>
    <x v="2"/>
    <x v="0"/>
    <n v="2"/>
    <n v="18000"/>
    <n v="3600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D0A6A9-FEDD-485A-9EA1-76E776A9AC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0">
    <pivotField showAll="0"/>
    <pivotField numFmtId="164" showAll="0"/>
    <pivotField showAll="0"/>
    <pivotField axis="axisRow" showAll="0" measureFilter="1" sortType="descending">
      <items count="6">
        <item x="4"/>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dataField="1" numFmtId="167" showAll="0"/>
    <pivotField showAll="0"/>
    <pivotField showAll="0"/>
  </pivotFields>
  <rowFields count="1">
    <field x="3"/>
  </rowFields>
  <rowItems count="6">
    <i>
      <x v="1"/>
    </i>
    <i>
      <x v="4"/>
    </i>
    <i>
      <x v="3"/>
    </i>
    <i>
      <x v="2"/>
    </i>
    <i>
      <x/>
    </i>
    <i t="grand">
      <x/>
    </i>
  </rowItems>
  <colItems count="1">
    <i/>
  </colItems>
  <dataFields count="1">
    <dataField name="Sum of Total Sales" fld="7" baseField="0" baseItem="0" numFmtId="167"/>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EDD1CD-AE00-4B61-BC6E-43C3268EC0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0">
    <pivotField showAll="0"/>
    <pivotField numFmtId="164"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numFmtId="165" showAll="0"/>
    <pivotField dataField="1" numFmtId="167" showAll="0"/>
    <pivotField showAll="0"/>
    <pivotField showAll="0"/>
  </pivotFields>
  <rowFields count="1">
    <field x="4"/>
  </rowFields>
  <rowItems count="4">
    <i>
      <x v="1"/>
    </i>
    <i>
      <x v="2"/>
    </i>
    <i>
      <x/>
    </i>
    <i t="grand">
      <x/>
    </i>
  </rowItems>
  <colItems count="1">
    <i/>
  </colItems>
  <dataFields count="1">
    <dataField name="Sum of Total Sales" fld="7" baseField="0" baseItem="0" numFmtId="167"/>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09E20A-C779-42E1-9FE4-5122AA91B99F}"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6" firstHeaderRow="1" firstDataRow="1" firstDataCol="1"/>
  <pivotFields count="10">
    <pivotField showAll="0"/>
    <pivotField numFmtId="164" showAll="0"/>
    <pivotField showAll="0"/>
    <pivotField showAll="0"/>
    <pivotField showAll="0"/>
    <pivotField showAll="0"/>
    <pivotField numFmtId="165" showAll="0"/>
    <pivotField dataField="1" numFmtId="167" showAll="0"/>
    <pivotField axis="axisRow" showAll="0">
      <items count="3">
        <item x="0"/>
        <item x="1"/>
        <item t="default"/>
      </items>
    </pivotField>
    <pivotField showAll="0"/>
  </pivotFields>
  <rowFields count="1">
    <field x="8"/>
  </rowFields>
  <rowItems count="3">
    <i>
      <x/>
    </i>
    <i>
      <x v="1"/>
    </i>
    <i t="grand">
      <x/>
    </i>
  </rowItems>
  <colItems count="1">
    <i/>
  </colItems>
  <dataFields count="1">
    <dataField name="Sum of Total Sales" fld="7" baseField="0" baseItem="0" numFmtId="167"/>
  </dataFields>
  <chartFormats count="5">
    <chartFormat chart="9"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8F084C-6FCE-4019-AD32-8628D949FDE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7" firstHeaderRow="1" firstDataRow="2" firstDataCol="1"/>
  <pivotFields count="10">
    <pivotField showAll="0"/>
    <pivotField numFmtId="164" showAll="0"/>
    <pivotField showAll="0"/>
    <pivotField showAll="0"/>
    <pivotField showAll="0"/>
    <pivotField showAll="0"/>
    <pivotField numFmtId="165" showAll="0"/>
    <pivotField dataField="1" numFmtId="167"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axis="axisCol" showAll="0">
      <items count="2">
        <item x="0"/>
        <item t="default"/>
      </items>
    </pivotField>
  </pivotFields>
  <rowFields count="1">
    <field x="8"/>
  </rowFields>
  <rowItems count="3">
    <i>
      <x/>
    </i>
    <i>
      <x v="1"/>
    </i>
    <i t="grand">
      <x/>
    </i>
  </rowItems>
  <colFields count="1">
    <field x="9"/>
  </colFields>
  <colItems count="2">
    <i>
      <x/>
    </i>
    <i t="grand">
      <x/>
    </i>
  </colItems>
  <dataFields count="1">
    <dataField name="Sum of Total Sales" fld="7" baseField="0" baseItem="0" numFmtId="167"/>
  </dataFields>
  <chartFormats count="1">
    <chartFormat chart="0" format="1"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992C09-F1B5-4689-B998-4D6CE34DA4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8" firstHeaderRow="1" firstDataRow="1" firstDataCol="1"/>
  <pivotFields count="10">
    <pivotField showAll="0"/>
    <pivotField numFmtId="164"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7" showAll="0"/>
    <pivotField showAll="0"/>
    <pivotField showAll="0"/>
  </pivotFields>
  <rowFields count="1">
    <field x="2"/>
  </rowFields>
  <rowItems count="5">
    <i>
      <x/>
    </i>
    <i>
      <x v="1"/>
    </i>
    <i>
      <x v="3"/>
    </i>
    <i>
      <x v="2"/>
    </i>
    <i t="grand">
      <x/>
    </i>
  </rowItems>
  <colItems count="1">
    <i/>
  </colItems>
  <dataFields count="1">
    <dataField name="Sum of Total Sales" fld="7" baseField="0" baseItem="0" numFmtId="167"/>
  </dataFields>
  <chartFormats count="3">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2" count="1" selected="0">
            <x v="2"/>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77123C-9E7F-47C4-91F7-B2F559BEAC72}" sourceName="Region">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1FB31E3-CAC0-497F-B489-C1CBB392B052}" sourceName="Category">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7DB6D78-9F59-4175-A921-D6381F60100C}" sourceName="Year">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F9EC4A6-C922-4D5A-8429-8BBE2471B5A5}" cache="Slicer_Region" caption="Region" rowHeight="234950"/>
  <slicer name="Category" xr10:uid="{9896CFD4-380C-46A6-A53A-0218F204F1AA}" cache="Slicer_Category" caption="Category" rowHeight="234950"/>
  <slicer name="Year" xr10:uid="{BEB0BEC0-2705-47AB-BC3B-A34FA7AF30AF}"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Sales" displayName="RawSales" ref="A1:L45">
  <autoFilter ref="A1:L45" xr:uid="{00000000-0009-0000-0100-000001000000}"/>
  <tableColumns count="12">
    <tableColumn id="1" xr3:uid="{00000000-0010-0000-0000-000001000000}" name="OrderID"/>
    <tableColumn id="2" xr3:uid="{00000000-0010-0000-0000-000002000000}" name="Date"/>
    <tableColumn id="3" xr3:uid="{00000000-0010-0000-0000-000003000000}" name="Region"/>
    <tableColumn id="4" xr3:uid="{00000000-0010-0000-0000-000004000000}" name="Product"/>
    <tableColumn id="5" xr3:uid="{00000000-0010-0000-0000-000005000000}" name="Category"/>
    <tableColumn id="6" xr3:uid="{00000000-0010-0000-0000-000006000000}" name="Quantity"/>
    <tableColumn id="7" xr3:uid="{00000000-0010-0000-0000-000007000000}" name="Unit Price"/>
    <tableColumn id="8" xr3:uid="{217C3C10-2EAF-4D5B-97EE-842CD58D2746}" name="Total Sales" dataDxfId="4">
      <calculatedColumnFormula>RawSales[[#This Row],[Quantity]]*RawSales[[#This Row],[Unit Price]]</calculatedColumnFormula>
    </tableColumn>
    <tableColumn id="9" xr3:uid="{DD8B1D21-CA08-45A4-B4D7-2D50CA824FDC}" name="Month" dataDxfId="3">
      <calculatedColumnFormula>TEXT(RawSales[[#This Row],[Date]],"MMM")</calculatedColumnFormula>
    </tableColumn>
    <tableColumn id="10" xr3:uid="{7138275C-44DC-4F1B-85C5-2FDF7A46DBD8}" name="Year" dataDxfId="2">
      <calculatedColumnFormula>YEAR(RawSales[[#This Row],[Date]])</calculatedColumnFormula>
    </tableColumn>
    <tableColumn id="11" xr3:uid="{88C3B8A6-EC30-4262-BDFC-3A7E80588F64}" name="Quarter" dataDxfId="1">
      <calculatedColumnFormula>"Q"&amp;ROUNDUP(MONTH(DATEVALUE("1 "&amp;I2))/3,0)</calculatedColumnFormula>
    </tableColumn>
    <tableColumn id="12" xr3:uid="{526A02C3-201E-4D05-A852-4BCF7E73B755}" name="Profit" dataDxfId="0">
      <calculatedColumnFormula>(H2-G2)</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E0256-80A7-4D07-A993-C2584B988CA8}">
  <dimension ref="A3:B9"/>
  <sheetViews>
    <sheetView workbookViewId="0">
      <selection activeCell="A5" sqref="A4:A8"/>
    </sheetView>
  </sheetViews>
  <sheetFormatPr defaultRowHeight="14.4" x14ac:dyDescent="0.3"/>
  <cols>
    <col min="1" max="1" width="12.5546875" bestFit="1" customWidth="1"/>
    <col min="2" max="2" width="16.44140625" bestFit="1" customWidth="1"/>
  </cols>
  <sheetData>
    <row r="3" spans="1:2" x14ac:dyDescent="0.3">
      <c r="A3" s="8" t="s">
        <v>22</v>
      </c>
      <c r="B3" t="s">
        <v>24</v>
      </c>
    </row>
    <row r="4" spans="1:2" x14ac:dyDescent="0.3">
      <c r="A4" s="9" t="s">
        <v>8</v>
      </c>
      <c r="B4" s="7">
        <v>585000</v>
      </c>
    </row>
    <row r="5" spans="1:2" x14ac:dyDescent="0.3">
      <c r="A5" s="9" t="s">
        <v>14</v>
      </c>
      <c r="B5" s="7">
        <v>540000</v>
      </c>
    </row>
    <row r="6" spans="1:2" x14ac:dyDescent="0.3">
      <c r="A6" s="9" t="s">
        <v>16</v>
      </c>
      <c r="B6" s="7">
        <v>165000</v>
      </c>
    </row>
    <row r="7" spans="1:2" x14ac:dyDescent="0.3">
      <c r="A7" s="9" t="s">
        <v>11</v>
      </c>
      <c r="B7" s="7">
        <v>144000</v>
      </c>
    </row>
    <row r="8" spans="1:2" x14ac:dyDescent="0.3">
      <c r="A8" s="9" t="s">
        <v>17</v>
      </c>
      <c r="B8" s="7">
        <v>118500</v>
      </c>
    </row>
    <row r="9" spans="1:2" x14ac:dyDescent="0.3">
      <c r="A9" s="9" t="s">
        <v>23</v>
      </c>
      <c r="B9" s="7">
        <v>1552500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C4112-47B0-4FC3-8A3B-4CE1220DD076}">
  <dimension ref="A3:B7"/>
  <sheetViews>
    <sheetView workbookViewId="0">
      <selection activeCell="A4" sqref="A4"/>
    </sheetView>
  </sheetViews>
  <sheetFormatPr defaultRowHeight="14.4" x14ac:dyDescent="0.3"/>
  <cols>
    <col min="1" max="1" width="12.5546875" bestFit="1" customWidth="1"/>
    <col min="2" max="2" width="16.44140625" bestFit="1" customWidth="1"/>
  </cols>
  <sheetData>
    <row r="3" spans="1:2" x14ac:dyDescent="0.3">
      <c r="A3" s="8" t="s">
        <v>22</v>
      </c>
      <c r="B3" t="s">
        <v>24</v>
      </c>
    </row>
    <row r="4" spans="1:2" x14ac:dyDescent="0.3">
      <c r="A4" s="9" t="s">
        <v>9</v>
      </c>
      <c r="B4" s="7">
        <v>1125000</v>
      </c>
    </row>
    <row r="5" spans="1:2" x14ac:dyDescent="0.3">
      <c r="A5" s="9" t="s">
        <v>12</v>
      </c>
      <c r="B5" s="7">
        <v>309000</v>
      </c>
    </row>
    <row r="6" spans="1:2" x14ac:dyDescent="0.3">
      <c r="A6" s="9" t="s">
        <v>18</v>
      </c>
      <c r="B6" s="7">
        <v>118500</v>
      </c>
    </row>
    <row r="7" spans="1:2" x14ac:dyDescent="0.3">
      <c r="A7" s="9" t="s">
        <v>23</v>
      </c>
      <c r="B7" s="7">
        <v>1552500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3BCC5-350A-4C8E-9956-251DB342C883}">
  <dimension ref="A3:B6"/>
  <sheetViews>
    <sheetView workbookViewId="0">
      <selection activeCell="A4" sqref="A4"/>
    </sheetView>
  </sheetViews>
  <sheetFormatPr defaultRowHeight="14.4" x14ac:dyDescent="0.3"/>
  <cols>
    <col min="1" max="1" width="12.5546875" bestFit="1" customWidth="1"/>
    <col min="2" max="2" width="16.44140625" bestFit="1" customWidth="1"/>
  </cols>
  <sheetData>
    <row r="3" spans="1:2" x14ac:dyDescent="0.3">
      <c r="A3" s="8" t="s">
        <v>22</v>
      </c>
      <c r="B3" t="s">
        <v>24</v>
      </c>
    </row>
    <row r="4" spans="1:2" x14ac:dyDescent="0.3">
      <c r="A4" s="9" t="s">
        <v>25</v>
      </c>
      <c r="B4" s="7">
        <v>925500</v>
      </c>
    </row>
    <row r="5" spans="1:2" x14ac:dyDescent="0.3">
      <c r="A5" s="9" t="s">
        <v>26</v>
      </c>
      <c r="B5" s="7">
        <v>627000</v>
      </c>
    </row>
    <row r="6" spans="1:2" x14ac:dyDescent="0.3">
      <c r="A6" s="9" t="s">
        <v>23</v>
      </c>
      <c r="B6" s="7">
        <v>1552500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1BC54-F611-4106-944C-EF105E43EDBC}">
  <dimension ref="A3:C7"/>
  <sheetViews>
    <sheetView workbookViewId="0">
      <selection activeCell="B4" sqref="B4"/>
    </sheetView>
  </sheetViews>
  <sheetFormatPr defaultRowHeight="14.4" x14ac:dyDescent="0.3"/>
  <cols>
    <col min="1" max="1" width="16.44140625" bestFit="1" customWidth="1"/>
    <col min="2" max="2" width="15.5546875" bestFit="1" customWidth="1"/>
    <col min="3" max="3" width="13.21875" bestFit="1" customWidth="1"/>
  </cols>
  <sheetData>
    <row r="3" spans="1:3" x14ac:dyDescent="0.3">
      <c r="A3" s="8" t="s">
        <v>24</v>
      </c>
      <c r="B3" s="8" t="s">
        <v>29</v>
      </c>
    </row>
    <row r="4" spans="1:3" x14ac:dyDescent="0.3">
      <c r="A4" s="8" t="s">
        <v>22</v>
      </c>
      <c r="B4">
        <v>2025</v>
      </c>
      <c r="C4" t="s">
        <v>23</v>
      </c>
    </row>
    <row r="5" spans="1:3" x14ac:dyDescent="0.3">
      <c r="A5" s="9" t="s">
        <v>25</v>
      </c>
      <c r="B5" s="7">
        <v>925500</v>
      </c>
      <c r="C5" s="7">
        <v>925500</v>
      </c>
    </row>
    <row r="6" spans="1:3" x14ac:dyDescent="0.3">
      <c r="A6" s="9" t="s">
        <v>26</v>
      </c>
      <c r="B6" s="7">
        <v>627000</v>
      </c>
      <c r="C6" s="7">
        <v>627000</v>
      </c>
    </row>
    <row r="7" spans="1:3" x14ac:dyDescent="0.3">
      <c r="A7" s="9" t="s">
        <v>23</v>
      </c>
      <c r="B7" s="7">
        <v>1552500</v>
      </c>
      <c r="C7" s="7">
        <v>1552500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5"/>
  <sheetViews>
    <sheetView workbookViewId="0">
      <pane ySplit="1" topLeftCell="A2" activePane="bottomLeft" state="frozen"/>
      <selection pane="bottomLeft" activeCell="O13" sqref="O13"/>
    </sheetView>
  </sheetViews>
  <sheetFormatPr defaultRowHeight="14.4" x14ac:dyDescent="0.3"/>
  <cols>
    <col min="1" max="1" width="12" customWidth="1"/>
    <col min="2" max="2" width="16" customWidth="1"/>
    <col min="3" max="3" width="14" customWidth="1"/>
    <col min="4" max="4" width="20" customWidth="1"/>
    <col min="5" max="5" width="18" customWidth="1"/>
    <col min="6" max="6" width="12" customWidth="1"/>
    <col min="7" max="7" width="14" customWidth="1"/>
    <col min="8" max="8" width="10.44140625" bestFit="1" customWidth="1"/>
    <col min="12" max="12" width="10.44140625" bestFit="1" customWidth="1"/>
  </cols>
  <sheetData>
    <row r="1" spans="1:12" x14ac:dyDescent="0.3">
      <c r="A1" s="4" t="s">
        <v>0</v>
      </c>
      <c r="B1" s="4" t="s">
        <v>1</v>
      </c>
      <c r="C1" s="1" t="s">
        <v>2</v>
      </c>
      <c r="D1" s="1" t="s">
        <v>3</v>
      </c>
      <c r="E1" s="1" t="s">
        <v>4</v>
      </c>
      <c r="F1" s="5" t="s">
        <v>5</v>
      </c>
      <c r="G1" s="6" t="s">
        <v>6</v>
      </c>
      <c r="H1" t="s">
        <v>19</v>
      </c>
      <c r="I1" t="s">
        <v>20</v>
      </c>
      <c r="J1" t="s">
        <v>21</v>
      </c>
      <c r="K1" t="s">
        <v>27</v>
      </c>
      <c r="L1" t="s">
        <v>28</v>
      </c>
    </row>
    <row r="2" spans="1:12" x14ac:dyDescent="0.3">
      <c r="A2">
        <v>1001</v>
      </c>
      <c r="B2" s="2">
        <v>45662</v>
      </c>
      <c r="C2" t="s">
        <v>7</v>
      </c>
      <c r="D2" t="s">
        <v>8</v>
      </c>
      <c r="E2" t="s">
        <v>9</v>
      </c>
      <c r="F2">
        <v>2</v>
      </c>
      <c r="G2" s="3">
        <v>45000</v>
      </c>
      <c r="H2" s="7">
        <f>RawSales[[#This Row],[Quantity]]*RawSales[[#This Row],[Unit Price]]</f>
        <v>90000</v>
      </c>
      <c r="I2" t="str">
        <f>TEXT(RawSales[[#This Row],[Date]],"MMM")</f>
        <v>Jan</v>
      </c>
      <c r="J2">
        <f>YEAR(RawSales[[#This Row],[Date]])</f>
        <v>2025</v>
      </c>
      <c r="K2" t="str">
        <f t="shared" ref="K2:K45" si="0">"Q"&amp;ROUNDUP(MONTH(DATEVALUE("1 "&amp;I2))/3,0)</f>
        <v>Q1</v>
      </c>
      <c r="L2" s="7">
        <f t="shared" ref="L2:L45" si="1">(H2-G2)</f>
        <v>45000</v>
      </c>
    </row>
    <row r="3" spans="1:12" x14ac:dyDescent="0.3">
      <c r="A3">
        <v>1002</v>
      </c>
      <c r="B3" s="2">
        <v>45665</v>
      </c>
      <c r="C3" t="s">
        <v>10</v>
      </c>
      <c r="D3" t="s">
        <v>11</v>
      </c>
      <c r="E3" t="s">
        <v>12</v>
      </c>
      <c r="F3">
        <v>5</v>
      </c>
      <c r="G3" s="3">
        <v>3000</v>
      </c>
      <c r="H3" s="7">
        <f>RawSales[[#This Row],[Quantity]]*RawSales[[#This Row],[Unit Price]]</f>
        <v>15000</v>
      </c>
      <c r="I3" t="str">
        <f>TEXT(RawSales[[#This Row],[Date]],"MMM")</f>
        <v>Jan</v>
      </c>
      <c r="J3">
        <f>YEAR(RawSales[[#This Row],[Date]])</f>
        <v>2025</v>
      </c>
      <c r="K3" t="str">
        <f t="shared" si="0"/>
        <v>Q1</v>
      </c>
      <c r="L3" s="7">
        <f t="shared" si="1"/>
        <v>12000</v>
      </c>
    </row>
    <row r="4" spans="1:12" x14ac:dyDescent="0.3">
      <c r="A4">
        <v>1003</v>
      </c>
      <c r="B4" s="2">
        <v>45666</v>
      </c>
      <c r="C4" t="s">
        <v>13</v>
      </c>
      <c r="D4" t="s">
        <v>14</v>
      </c>
      <c r="E4" t="s">
        <v>9</v>
      </c>
      <c r="F4">
        <v>3</v>
      </c>
      <c r="G4" s="3">
        <v>18000</v>
      </c>
      <c r="H4" s="7">
        <f>RawSales[[#This Row],[Quantity]]*RawSales[[#This Row],[Unit Price]]</f>
        <v>54000</v>
      </c>
      <c r="I4" t="str">
        <f>TEXT(RawSales[[#This Row],[Date]],"MMM")</f>
        <v>Jan</v>
      </c>
      <c r="J4">
        <f>YEAR(RawSales[[#This Row],[Date]])</f>
        <v>2025</v>
      </c>
      <c r="K4" t="str">
        <f t="shared" si="0"/>
        <v>Q1</v>
      </c>
      <c r="L4" s="7">
        <f t="shared" si="1"/>
        <v>36000</v>
      </c>
    </row>
    <row r="5" spans="1:12" x14ac:dyDescent="0.3">
      <c r="A5">
        <v>1004</v>
      </c>
      <c r="B5" s="2">
        <v>45667</v>
      </c>
      <c r="C5" t="s">
        <v>15</v>
      </c>
      <c r="D5" t="s">
        <v>16</v>
      </c>
      <c r="E5" t="s">
        <v>12</v>
      </c>
      <c r="F5">
        <v>2</v>
      </c>
      <c r="G5" s="3">
        <v>7500</v>
      </c>
      <c r="H5" s="7">
        <f>RawSales[[#This Row],[Quantity]]*RawSales[[#This Row],[Unit Price]]</f>
        <v>15000</v>
      </c>
      <c r="I5" t="str">
        <f>TEXT(RawSales[[#This Row],[Date]],"MMM")</f>
        <v>Jan</v>
      </c>
      <c r="J5">
        <f>YEAR(RawSales[[#This Row],[Date]])</f>
        <v>2025</v>
      </c>
      <c r="K5" t="str">
        <f t="shared" si="0"/>
        <v>Q1</v>
      </c>
      <c r="L5" s="7">
        <f t="shared" si="1"/>
        <v>7500</v>
      </c>
    </row>
    <row r="6" spans="1:12" x14ac:dyDescent="0.3">
      <c r="A6">
        <v>1005</v>
      </c>
      <c r="B6" s="2">
        <v>45668</v>
      </c>
      <c r="C6" t="s">
        <v>7</v>
      </c>
      <c r="D6" t="s">
        <v>17</v>
      </c>
      <c r="E6" t="s">
        <v>18</v>
      </c>
      <c r="F6">
        <v>10</v>
      </c>
      <c r="G6" s="3">
        <v>1500</v>
      </c>
      <c r="H6" s="7">
        <f>RawSales[[#This Row],[Quantity]]*RawSales[[#This Row],[Unit Price]]</f>
        <v>15000</v>
      </c>
      <c r="I6" t="str">
        <f>TEXT(RawSales[[#This Row],[Date]],"MMM")</f>
        <v>Jan</v>
      </c>
      <c r="J6">
        <f>YEAR(RawSales[[#This Row],[Date]])</f>
        <v>2025</v>
      </c>
      <c r="K6" t="str">
        <f t="shared" si="0"/>
        <v>Q1</v>
      </c>
      <c r="L6" s="7">
        <f t="shared" si="1"/>
        <v>13500</v>
      </c>
    </row>
    <row r="7" spans="1:12" x14ac:dyDescent="0.3">
      <c r="A7">
        <v>1006</v>
      </c>
      <c r="B7" s="2">
        <v>45669</v>
      </c>
      <c r="C7" t="s">
        <v>10</v>
      </c>
      <c r="D7" t="s">
        <v>8</v>
      </c>
      <c r="E7" t="s">
        <v>9</v>
      </c>
      <c r="F7">
        <v>1</v>
      </c>
      <c r="G7" s="3">
        <v>45000</v>
      </c>
      <c r="H7" s="7">
        <f>RawSales[[#This Row],[Quantity]]*RawSales[[#This Row],[Unit Price]]</f>
        <v>45000</v>
      </c>
      <c r="I7" t="str">
        <f>TEXT(RawSales[[#This Row],[Date]],"MMM")</f>
        <v>Jan</v>
      </c>
      <c r="J7">
        <f>YEAR(RawSales[[#This Row],[Date]])</f>
        <v>2025</v>
      </c>
      <c r="K7" t="str">
        <f t="shared" si="0"/>
        <v>Q1</v>
      </c>
      <c r="L7" s="7">
        <f t="shared" si="1"/>
        <v>0</v>
      </c>
    </row>
    <row r="8" spans="1:12" x14ac:dyDescent="0.3">
      <c r="A8">
        <v>1007</v>
      </c>
      <c r="B8" s="2">
        <v>45670</v>
      </c>
      <c r="C8" t="s">
        <v>13</v>
      </c>
      <c r="D8" t="s">
        <v>11</v>
      </c>
      <c r="E8" t="s">
        <v>12</v>
      </c>
      <c r="F8">
        <v>4</v>
      </c>
      <c r="G8" s="3">
        <v>3000</v>
      </c>
      <c r="H8" s="7">
        <f>RawSales[[#This Row],[Quantity]]*RawSales[[#This Row],[Unit Price]]</f>
        <v>12000</v>
      </c>
      <c r="I8" t="str">
        <f>TEXT(RawSales[[#This Row],[Date]],"MMM")</f>
        <v>Jan</v>
      </c>
      <c r="J8">
        <f>YEAR(RawSales[[#This Row],[Date]])</f>
        <v>2025</v>
      </c>
      <c r="K8" t="str">
        <f t="shared" si="0"/>
        <v>Q1</v>
      </c>
      <c r="L8" s="7">
        <f t="shared" si="1"/>
        <v>9000</v>
      </c>
    </row>
    <row r="9" spans="1:12" x14ac:dyDescent="0.3">
      <c r="A9">
        <v>1008</v>
      </c>
      <c r="B9" s="2">
        <v>45671</v>
      </c>
      <c r="C9" t="s">
        <v>15</v>
      </c>
      <c r="D9" t="s">
        <v>14</v>
      </c>
      <c r="E9" t="s">
        <v>9</v>
      </c>
      <c r="F9">
        <v>2</v>
      </c>
      <c r="G9" s="3">
        <v>18000</v>
      </c>
      <c r="H9" s="7">
        <f>RawSales[[#This Row],[Quantity]]*RawSales[[#This Row],[Unit Price]]</f>
        <v>36000</v>
      </c>
      <c r="I9" t="str">
        <f>TEXT(RawSales[[#This Row],[Date]],"MMM")</f>
        <v>Jan</v>
      </c>
      <c r="J9">
        <f>YEAR(RawSales[[#This Row],[Date]])</f>
        <v>2025</v>
      </c>
      <c r="K9" t="str">
        <f t="shared" si="0"/>
        <v>Q1</v>
      </c>
      <c r="L9" s="7">
        <f t="shared" si="1"/>
        <v>18000</v>
      </c>
    </row>
    <row r="10" spans="1:12" x14ac:dyDescent="0.3">
      <c r="A10">
        <v>1009</v>
      </c>
      <c r="B10" s="2">
        <v>45672</v>
      </c>
      <c r="C10" t="s">
        <v>7</v>
      </c>
      <c r="D10" t="s">
        <v>16</v>
      </c>
      <c r="E10" t="s">
        <v>12</v>
      </c>
      <c r="F10">
        <v>3</v>
      </c>
      <c r="G10" s="3">
        <v>7500</v>
      </c>
      <c r="H10" s="7">
        <f>RawSales[[#This Row],[Quantity]]*RawSales[[#This Row],[Unit Price]]</f>
        <v>22500</v>
      </c>
      <c r="I10" t="str">
        <f>TEXT(RawSales[[#This Row],[Date]],"MMM")</f>
        <v>Jan</v>
      </c>
      <c r="J10">
        <f>YEAR(RawSales[[#This Row],[Date]])</f>
        <v>2025</v>
      </c>
      <c r="K10" t="str">
        <f t="shared" si="0"/>
        <v>Q1</v>
      </c>
      <c r="L10" s="7">
        <f t="shared" si="1"/>
        <v>15000</v>
      </c>
    </row>
    <row r="11" spans="1:12" x14ac:dyDescent="0.3">
      <c r="A11">
        <v>1010</v>
      </c>
      <c r="B11" s="2">
        <v>45673</v>
      </c>
      <c r="C11" t="s">
        <v>10</v>
      </c>
      <c r="D11" t="s">
        <v>17</v>
      </c>
      <c r="E11" t="s">
        <v>18</v>
      </c>
      <c r="F11">
        <v>8</v>
      </c>
      <c r="G11" s="3">
        <v>1500</v>
      </c>
      <c r="H11" s="7">
        <f>RawSales[[#This Row],[Quantity]]*RawSales[[#This Row],[Unit Price]]</f>
        <v>12000</v>
      </c>
      <c r="I11" t="str">
        <f>TEXT(RawSales[[#This Row],[Date]],"MMM")</f>
        <v>Jan</v>
      </c>
      <c r="J11">
        <f>YEAR(RawSales[[#This Row],[Date]])</f>
        <v>2025</v>
      </c>
      <c r="K11" t="str">
        <f t="shared" si="0"/>
        <v>Q1</v>
      </c>
      <c r="L11" s="7">
        <f t="shared" si="1"/>
        <v>10500</v>
      </c>
    </row>
    <row r="12" spans="1:12" x14ac:dyDescent="0.3">
      <c r="A12">
        <v>1011</v>
      </c>
      <c r="B12" s="2">
        <v>45674</v>
      </c>
      <c r="C12" t="s">
        <v>13</v>
      </c>
      <c r="D12" t="s">
        <v>8</v>
      </c>
      <c r="E12" t="s">
        <v>9</v>
      </c>
      <c r="F12">
        <v>2</v>
      </c>
      <c r="G12" s="3">
        <v>45000</v>
      </c>
      <c r="H12" s="7">
        <f>RawSales[[#This Row],[Quantity]]*RawSales[[#This Row],[Unit Price]]</f>
        <v>90000</v>
      </c>
      <c r="I12" t="str">
        <f>TEXT(RawSales[[#This Row],[Date]],"MMM")</f>
        <v>Jan</v>
      </c>
      <c r="J12">
        <f>YEAR(RawSales[[#This Row],[Date]])</f>
        <v>2025</v>
      </c>
      <c r="K12" t="str">
        <f t="shared" si="0"/>
        <v>Q1</v>
      </c>
      <c r="L12" s="7">
        <f t="shared" si="1"/>
        <v>45000</v>
      </c>
    </row>
    <row r="13" spans="1:12" x14ac:dyDescent="0.3">
      <c r="A13">
        <v>1012</v>
      </c>
      <c r="B13" s="2">
        <v>45675</v>
      </c>
      <c r="C13" t="s">
        <v>15</v>
      </c>
      <c r="D13" t="s">
        <v>11</v>
      </c>
      <c r="E13" t="s">
        <v>12</v>
      </c>
      <c r="F13">
        <v>6</v>
      </c>
      <c r="G13" s="3">
        <v>3000</v>
      </c>
      <c r="H13" s="7">
        <f>RawSales[[#This Row],[Quantity]]*RawSales[[#This Row],[Unit Price]]</f>
        <v>18000</v>
      </c>
      <c r="I13" t="str">
        <f>TEXT(RawSales[[#This Row],[Date]],"MMM")</f>
        <v>Jan</v>
      </c>
      <c r="J13">
        <f>YEAR(RawSales[[#This Row],[Date]])</f>
        <v>2025</v>
      </c>
      <c r="K13" t="str">
        <f t="shared" si="0"/>
        <v>Q1</v>
      </c>
      <c r="L13" s="7">
        <f t="shared" si="1"/>
        <v>15000</v>
      </c>
    </row>
    <row r="14" spans="1:12" x14ac:dyDescent="0.3">
      <c r="A14">
        <v>1013</v>
      </c>
      <c r="B14" s="2">
        <v>45676</v>
      </c>
      <c r="C14" t="s">
        <v>7</v>
      </c>
      <c r="D14" t="s">
        <v>14</v>
      </c>
      <c r="E14" t="s">
        <v>9</v>
      </c>
      <c r="F14">
        <v>4</v>
      </c>
      <c r="G14" s="3">
        <v>18000</v>
      </c>
      <c r="H14" s="7">
        <f>RawSales[[#This Row],[Quantity]]*RawSales[[#This Row],[Unit Price]]</f>
        <v>72000</v>
      </c>
      <c r="I14" t="str">
        <f>TEXT(RawSales[[#This Row],[Date]],"MMM")</f>
        <v>Jan</v>
      </c>
      <c r="J14">
        <f>YEAR(RawSales[[#This Row],[Date]])</f>
        <v>2025</v>
      </c>
      <c r="K14" t="str">
        <f t="shared" si="0"/>
        <v>Q1</v>
      </c>
      <c r="L14" s="7">
        <f t="shared" si="1"/>
        <v>54000</v>
      </c>
    </row>
    <row r="15" spans="1:12" x14ac:dyDescent="0.3">
      <c r="A15">
        <v>1014</v>
      </c>
      <c r="B15" s="2">
        <v>45677</v>
      </c>
      <c r="C15" t="s">
        <v>10</v>
      </c>
      <c r="D15" t="s">
        <v>16</v>
      </c>
      <c r="E15" t="s">
        <v>12</v>
      </c>
      <c r="F15">
        <v>1</v>
      </c>
      <c r="G15" s="3">
        <v>7500</v>
      </c>
      <c r="H15" s="7">
        <f>RawSales[[#This Row],[Quantity]]*RawSales[[#This Row],[Unit Price]]</f>
        <v>7500</v>
      </c>
      <c r="I15" t="str">
        <f>TEXT(RawSales[[#This Row],[Date]],"MMM")</f>
        <v>Jan</v>
      </c>
      <c r="J15">
        <f>YEAR(RawSales[[#This Row],[Date]])</f>
        <v>2025</v>
      </c>
      <c r="K15" t="str">
        <f t="shared" si="0"/>
        <v>Q1</v>
      </c>
      <c r="L15" s="7">
        <f t="shared" si="1"/>
        <v>0</v>
      </c>
    </row>
    <row r="16" spans="1:12" x14ac:dyDescent="0.3">
      <c r="A16">
        <v>1015</v>
      </c>
      <c r="B16" s="2">
        <v>45678</v>
      </c>
      <c r="C16" t="s">
        <v>13</v>
      </c>
      <c r="D16" t="s">
        <v>17</v>
      </c>
      <c r="E16" t="s">
        <v>18</v>
      </c>
      <c r="F16">
        <v>12</v>
      </c>
      <c r="G16" s="3">
        <v>1500</v>
      </c>
      <c r="H16" s="7">
        <f>RawSales[[#This Row],[Quantity]]*RawSales[[#This Row],[Unit Price]]</f>
        <v>18000</v>
      </c>
      <c r="I16" t="str">
        <f>TEXT(RawSales[[#This Row],[Date]],"MMM")</f>
        <v>Jan</v>
      </c>
      <c r="J16">
        <f>YEAR(RawSales[[#This Row],[Date]])</f>
        <v>2025</v>
      </c>
      <c r="K16" t="str">
        <f t="shared" si="0"/>
        <v>Q1</v>
      </c>
      <c r="L16" s="7">
        <f t="shared" si="1"/>
        <v>16500</v>
      </c>
    </row>
    <row r="17" spans="1:12" x14ac:dyDescent="0.3">
      <c r="A17">
        <v>1016</v>
      </c>
      <c r="B17" s="2">
        <v>45679</v>
      </c>
      <c r="C17" t="s">
        <v>15</v>
      </c>
      <c r="D17" t="s">
        <v>8</v>
      </c>
      <c r="E17" t="s">
        <v>9</v>
      </c>
      <c r="F17">
        <v>1</v>
      </c>
      <c r="G17" s="3">
        <v>45000</v>
      </c>
      <c r="H17" s="7">
        <f>RawSales[[#This Row],[Quantity]]*RawSales[[#This Row],[Unit Price]]</f>
        <v>45000</v>
      </c>
      <c r="I17" t="str">
        <f>TEXT(RawSales[[#This Row],[Date]],"MMM")</f>
        <v>Jan</v>
      </c>
      <c r="J17">
        <f>YEAR(RawSales[[#This Row],[Date]])</f>
        <v>2025</v>
      </c>
      <c r="K17" t="str">
        <f t="shared" si="0"/>
        <v>Q1</v>
      </c>
      <c r="L17" s="7">
        <f t="shared" si="1"/>
        <v>0</v>
      </c>
    </row>
    <row r="18" spans="1:12" x14ac:dyDescent="0.3">
      <c r="A18">
        <v>1017</v>
      </c>
      <c r="B18" s="2">
        <v>45680</v>
      </c>
      <c r="C18" t="s">
        <v>7</v>
      </c>
      <c r="D18" t="s">
        <v>11</v>
      </c>
      <c r="E18" t="s">
        <v>12</v>
      </c>
      <c r="F18">
        <v>7</v>
      </c>
      <c r="G18" s="3">
        <v>3000</v>
      </c>
      <c r="H18" s="7">
        <f>RawSales[[#This Row],[Quantity]]*RawSales[[#This Row],[Unit Price]]</f>
        <v>21000</v>
      </c>
      <c r="I18" t="str">
        <f>TEXT(RawSales[[#This Row],[Date]],"MMM")</f>
        <v>Jan</v>
      </c>
      <c r="J18">
        <f>YEAR(RawSales[[#This Row],[Date]])</f>
        <v>2025</v>
      </c>
      <c r="K18" t="str">
        <f t="shared" si="0"/>
        <v>Q1</v>
      </c>
      <c r="L18" s="7">
        <f t="shared" si="1"/>
        <v>18000</v>
      </c>
    </row>
    <row r="19" spans="1:12" x14ac:dyDescent="0.3">
      <c r="A19">
        <v>1018</v>
      </c>
      <c r="B19" s="2">
        <v>45681</v>
      </c>
      <c r="C19" t="s">
        <v>10</v>
      </c>
      <c r="D19" t="s">
        <v>14</v>
      </c>
      <c r="E19" t="s">
        <v>9</v>
      </c>
      <c r="F19">
        <v>2</v>
      </c>
      <c r="G19" s="3">
        <v>18000</v>
      </c>
      <c r="H19" s="7">
        <f>RawSales[[#This Row],[Quantity]]*RawSales[[#This Row],[Unit Price]]</f>
        <v>36000</v>
      </c>
      <c r="I19" t="str">
        <f>TEXT(RawSales[[#This Row],[Date]],"MMM")</f>
        <v>Jan</v>
      </c>
      <c r="J19">
        <f>YEAR(RawSales[[#This Row],[Date]])</f>
        <v>2025</v>
      </c>
      <c r="K19" t="str">
        <f t="shared" si="0"/>
        <v>Q1</v>
      </c>
      <c r="L19" s="7">
        <f t="shared" si="1"/>
        <v>18000</v>
      </c>
    </row>
    <row r="20" spans="1:12" x14ac:dyDescent="0.3">
      <c r="A20">
        <v>1019</v>
      </c>
      <c r="B20" s="2">
        <v>45682</v>
      </c>
      <c r="C20" t="s">
        <v>13</v>
      </c>
      <c r="D20" t="s">
        <v>16</v>
      </c>
      <c r="E20" t="s">
        <v>12</v>
      </c>
      <c r="F20">
        <v>4</v>
      </c>
      <c r="G20" s="3">
        <v>7500</v>
      </c>
      <c r="H20" s="7">
        <f>RawSales[[#This Row],[Quantity]]*RawSales[[#This Row],[Unit Price]]</f>
        <v>30000</v>
      </c>
      <c r="I20" t="str">
        <f>TEXT(RawSales[[#This Row],[Date]],"MMM")</f>
        <v>Jan</v>
      </c>
      <c r="J20">
        <f>YEAR(RawSales[[#This Row],[Date]])</f>
        <v>2025</v>
      </c>
      <c r="K20" t="str">
        <f t="shared" si="0"/>
        <v>Q1</v>
      </c>
      <c r="L20" s="7">
        <f t="shared" si="1"/>
        <v>22500</v>
      </c>
    </row>
    <row r="21" spans="1:12" x14ac:dyDescent="0.3">
      <c r="A21">
        <v>1020</v>
      </c>
      <c r="B21" s="2">
        <v>45683</v>
      </c>
      <c r="C21" t="s">
        <v>15</v>
      </c>
      <c r="D21" t="s">
        <v>17</v>
      </c>
      <c r="E21" t="s">
        <v>18</v>
      </c>
      <c r="F21">
        <v>15</v>
      </c>
      <c r="G21" s="3">
        <v>1500</v>
      </c>
      <c r="H21" s="7">
        <f>RawSales[[#This Row],[Quantity]]*RawSales[[#This Row],[Unit Price]]</f>
        <v>22500</v>
      </c>
      <c r="I21" t="str">
        <f>TEXT(RawSales[[#This Row],[Date]],"MMM")</f>
        <v>Jan</v>
      </c>
      <c r="J21">
        <f>YEAR(RawSales[[#This Row],[Date]])</f>
        <v>2025</v>
      </c>
      <c r="K21" t="str">
        <f t="shared" si="0"/>
        <v>Q1</v>
      </c>
      <c r="L21" s="7">
        <f t="shared" si="1"/>
        <v>21000</v>
      </c>
    </row>
    <row r="22" spans="1:12" x14ac:dyDescent="0.3">
      <c r="A22">
        <v>1021</v>
      </c>
      <c r="B22" s="2">
        <v>45684</v>
      </c>
      <c r="C22" t="s">
        <v>7</v>
      </c>
      <c r="D22" t="s">
        <v>8</v>
      </c>
      <c r="E22" t="s">
        <v>9</v>
      </c>
      <c r="F22">
        <v>1</v>
      </c>
      <c r="G22" s="3">
        <v>45000</v>
      </c>
      <c r="H22" s="7">
        <f>RawSales[[#This Row],[Quantity]]*RawSales[[#This Row],[Unit Price]]</f>
        <v>45000</v>
      </c>
      <c r="I22" t="str">
        <f>TEXT(RawSales[[#This Row],[Date]],"MMM")</f>
        <v>Jan</v>
      </c>
      <c r="J22">
        <f>YEAR(RawSales[[#This Row],[Date]])</f>
        <v>2025</v>
      </c>
      <c r="K22" t="str">
        <f t="shared" si="0"/>
        <v>Q1</v>
      </c>
      <c r="L22" s="7">
        <f t="shared" si="1"/>
        <v>0</v>
      </c>
    </row>
    <row r="23" spans="1:12" x14ac:dyDescent="0.3">
      <c r="A23">
        <v>1022</v>
      </c>
      <c r="B23" s="2">
        <v>45685</v>
      </c>
      <c r="C23" t="s">
        <v>10</v>
      </c>
      <c r="D23" t="s">
        <v>11</v>
      </c>
      <c r="E23" t="s">
        <v>12</v>
      </c>
      <c r="F23">
        <v>3</v>
      </c>
      <c r="G23" s="3">
        <v>3000</v>
      </c>
      <c r="H23" s="7">
        <f>RawSales[[#This Row],[Quantity]]*RawSales[[#This Row],[Unit Price]]</f>
        <v>9000</v>
      </c>
      <c r="I23" t="str">
        <f>TEXT(RawSales[[#This Row],[Date]],"MMM")</f>
        <v>Jan</v>
      </c>
      <c r="J23">
        <f>YEAR(RawSales[[#This Row],[Date]])</f>
        <v>2025</v>
      </c>
      <c r="K23" t="str">
        <f t="shared" si="0"/>
        <v>Q1</v>
      </c>
      <c r="L23" s="7">
        <f t="shared" si="1"/>
        <v>6000</v>
      </c>
    </row>
    <row r="24" spans="1:12" x14ac:dyDescent="0.3">
      <c r="A24">
        <v>1023</v>
      </c>
      <c r="B24" s="2">
        <v>45686</v>
      </c>
      <c r="C24" t="s">
        <v>13</v>
      </c>
      <c r="D24" t="s">
        <v>14</v>
      </c>
      <c r="E24" t="s">
        <v>9</v>
      </c>
      <c r="F24">
        <v>5</v>
      </c>
      <c r="G24" s="3">
        <v>18000</v>
      </c>
      <c r="H24" s="7">
        <f>RawSales[[#This Row],[Quantity]]*RawSales[[#This Row],[Unit Price]]</f>
        <v>90000</v>
      </c>
      <c r="I24" t="str">
        <f>TEXT(RawSales[[#This Row],[Date]],"MMM")</f>
        <v>Jan</v>
      </c>
      <c r="J24">
        <f>YEAR(RawSales[[#This Row],[Date]])</f>
        <v>2025</v>
      </c>
      <c r="K24" t="str">
        <f t="shared" si="0"/>
        <v>Q1</v>
      </c>
      <c r="L24" s="7">
        <f t="shared" si="1"/>
        <v>72000</v>
      </c>
    </row>
    <row r="25" spans="1:12" x14ac:dyDescent="0.3">
      <c r="A25">
        <v>1024</v>
      </c>
      <c r="B25" s="2">
        <v>45687</v>
      </c>
      <c r="C25" t="s">
        <v>15</v>
      </c>
      <c r="D25" t="s">
        <v>16</v>
      </c>
      <c r="E25" t="s">
        <v>12</v>
      </c>
      <c r="F25">
        <v>2</v>
      </c>
      <c r="G25" s="3">
        <v>7500</v>
      </c>
      <c r="H25" s="7">
        <f>RawSales[[#This Row],[Quantity]]*RawSales[[#This Row],[Unit Price]]</f>
        <v>15000</v>
      </c>
      <c r="I25" t="str">
        <f>TEXT(RawSales[[#This Row],[Date]],"MMM")</f>
        <v>Jan</v>
      </c>
      <c r="J25">
        <f>YEAR(RawSales[[#This Row],[Date]])</f>
        <v>2025</v>
      </c>
      <c r="K25" t="str">
        <f t="shared" si="0"/>
        <v>Q1</v>
      </c>
      <c r="L25" s="7">
        <f t="shared" si="1"/>
        <v>7500</v>
      </c>
    </row>
    <row r="26" spans="1:12" x14ac:dyDescent="0.3">
      <c r="A26">
        <v>1025</v>
      </c>
      <c r="B26" s="2">
        <v>45688</v>
      </c>
      <c r="C26" t="s">
        <v>10</v>
      </c>
      <c r="D26" t="s">
        <v>8</v>
      </c>
      <c r="E26" t="s">
        <v>9</v>
      </c>
      <c r="F26">
        <v>2</v>
      </c>
      <c r="G26" s="3">
        <v>45000</v>
      </c>
      <c r="H26" s="7">
        <f>RawSales[[#This Row],[Quantity]]*RawSales[[#This Row],[Unit Price]]</f>
        <v>90000</v>
      </c>
      <c r="I26" t="str">
        <f>TEXT(RawSales[[#This Row],[Date]],"MMM")</f>
        <v>Jan</v>
      </c>
      <c r="J26">
        <f>YEAR(RawSales[[#This Row],[Date]])</f>
        <v>2025</v>
      </c>
      <c r="K26" t="str">
        <f t="shared" si="0"/>
        <v>Q1</v>
      </c>
      <c r="L26" s="7">
        <f t="shared" si="1"/>
        <v>45000</v>
      </c>
    </row>
    <row r="27" spans="1:12" x14ac:dyDescent="0.3">
      <c r="A27">
        <v>1026</v>
      </c>
      <c r="B27" s="2">
        <v>45689</v>
      </c>
      <c r="C27" t="s">
        <v>7</v>
      </c>
      <c r="D27" t="s">
        <v>17</v>
      </c>
      <c r="E27" t="s">
        <v>18</v>
      </c>
      <c r="F27">
        <v>9</v>
      </c>
      <c r="G27" s="3">
        <v>1500</v>
      </c>
      <c r="H27" s="7">
        <f>RawSales[[#This Row],[Quantity]]*RawSales[[#This Row],[Unit Price]]</f>
        <v>13500</v>
      </c>
      <c r="I27" t="str">
        <f>TEXT(RawSales[[#This Row],[Date]],"MMM")</f>
        <v>Feb</v>
      </c>
      <c r="J27">
        <f>YEAR(RawSales[[#This Row],[Date]])</f>
        <v>2025</v>
      </c>
      <c r="K27" t="str">
        <f t="shared" si="0"/>
        <v>Q1</v>
      </c>
      <c r="L27" s="7">
        <f t="shared" si="1"/>
        <v>12000</v>
      </c>
    </row>
    <row r="28" spans="1:12" x14ac:dyDescent="0.3">
      <c r="A28">
        <v>1027</v>
      </c>
      <c r="B28" s="2">
        <v>45690</v>
      </c>
      <c r="C28" t="s">
        <v>15</v>
      </c>
      <c r="D28" t="s">
        <v>14</v>
      </c>
      <c r="E28" t="s">
        <v>9</v>
      </c>
      <c r="F28">
        <v>3</v>
      </c>
      <c r="G28" s="3">
        <v>18000</v>
      </c>
      <c r="H28" s="7">
        <f>RawSales[[#This Row],[Quantity]]*RawSales[[#This Row],[Unit Price]]</f>
        <v>54000</v>
      </c>
      <c r="I28" t="str">
        <f>TEXT(RawSales[[#This Row],[Date]],"MMM")</f>
        <v>Feb</v>
      </c>
      <c r="J28">
        <f>YEAR(RawSales[[#This Row],[Date]])</f>
        <v>2025</v>
      </c>
      <c r="K28" t="str">
        <f t="shared" si="0"/>
        <v>Q1</v>
      </c>
      <c r="L28" s="7">
        <f t="shared" si="1"/>
        <v>36000</v>
      </c>
    </row>
    <row r="29" spans="1:12" x14ac:dyDescent="0.3">
      <c r="A29">
        <v>1028</v>
      </c>
      <c r="B29" s="2">
        <v>45691</v>
      </c>
      <c r="C29" t="s">
        <v>13</v>
      </c>
      <c r="D29" t="s">
        <v>11</v>
      </c>
      <c r="E29" t="s">
        <v>12</v>
      </c>
      <c r="F29">
        <v>5</v>
      </c>
      <c r="G29" s="3">
        <v>3000</v>
      </c>
      <c r="H29" s="7">
        <f>RawSales[[#This Row],[Quantity]]*RawSales[[#This Row],[Unit Price]]</f>
        <v>15000</v>
      </c>
      <c r="I29" t="str">
        <f>TEXT(RawSales[[#This Row],[Date]],"MMM")</f>
        <v>Feb</v>
      </c>
      <c r="J29">
        <f>YEAR(RawSales[[#This Row],[Date]])</f>
        <v>2025</v>
      </c>
      <c r="K29" t="str">
        <f t="shared" si="0"/>
        <v>Q1</v>
      </c>
      <c r="L29" s="7">
        <f t="shared" si="1"/>
        <v>12000</v>
      </c>
    </row>
    <row r="30" spans="1:12" x14ac:dyDescent="0.3">
      <c r="A30">
        <v>1029</v>
      </c>
      <c r="B30" s="2">
        <v>45692</v>
      </c>
      <c r="C30" t="s">
        <v>10</v>
      </c>
      <c r="D30" t="s">
        <v>16</v>
      </c>
      <c r="E30" t="s">
        <v>12</v>
      </c>
      <c r="F30">
        <v>3</v>
      </c>
      <c r="G30" s="3">
        <v>7500</v>
      </c>
      <c r="H30" s="7">
        <f>RawSales[[#This Row],[Quantity]]*RawSales[[#This Row],[Unit Price]]</f>
        <v>22500</v>
      </c>
      <c r="I30" t="str">
        <f>TEXT(RawSales[[#This Row],[Date]],"MMM")</f>
        <v>Feb</v>
      </c>
      <c r="J30">
        <f>YEAR(RawSales[[#This Row],[Date]])</f>
        <v>2025</v>
      </c>
      <c r="K30" t="str">
        <f t="shared" si="0"/>
        <v>Q1</v>
      </c>
      <c r="L30" s="7">
        <f t="shared" si="1"/>
        <v>15000</v>
      </c>
    </row>
    <row r="31" spans="1:12" x14ac:dyDescent="0.3">
      <c r="A31">
        <v>1030</v>
      </c>
      <c r="B31" s="2">
        <v>45693</v>
      </c>
      <c r="C31" t="s">
        <v>7</v>
      </c>
      <c r="D31" t="s">
        <v>8</v>
      </c>
      <c r="E31" t="s">
        <v>9</v>
      </c>
      <c r="F31">
        <v>1</v>
      </c>
      <c r="G31" s="3">
        <v>45000</v>
      </c>
      <c r="H31" s="7">
        <f>RawSales[[#This Row],[Quantity]]*RawSales[[#This Row],[Unit Price]]</f>
        <v>45000</v>
      </c>
      <c r="I31" t="str">
        <f>TEXT(RawSales[[#This Row],[Date]],"MMM")</f>
        <v>Feb</v>
      </c>
      <c r="J31">
        <f>YEAR(RawSales[[#This Row],[Date]])</f>
        <v>2025</v>
      </c>
      <c r="K31" t="str">
        <f t="shared" si="0"/>
        <v>Q1</v>
      </c>
      <c r="L31" s="7">
        <f t="shared" si="1"/>
        <v>0</v>
      </c>
    </row>
    <row r="32" spans="1:12" x14ac:dyDescent="0.3">
      <c r="A32">
        <v>1031</v>
      </c>
      <c r="B32" s="2">
        <v>45694</v>
      </c>
      <c r="C32" t="s">
        <v>15</v>
      </c>
      <c r="D32" t="s">
        <v>17</v>
      </c>
      <c r="E32" t="s">
        <v>18</v>
      </c>
      <c r="F32">
        <v>11</v>
      </c>
      <c r="G32" s="3">
        <v>1500</v>
      </c>
      <c r="H32" s="7">
        <f>RawSales[[#This Row],[Quantity]]*RawSales[[#This Row],[Unit Price]]</f>
        <v>16500</v>
      </c>
      <c r="I32" t="str">
        <f>TEXT(RawSales[[#This Row],[Date]],"MMM")</f>
        <v>Feb</v>
      </c>
      <c r="J32">
        <f>YEAR(RawSales[[#This Row],[Date]])</f>
        <v>2025</v>
      </c>
      <c r="K32" t="str">
        <f t="shared" si="0"/>
        <v>Q1</v>
      </c>
      <c r="L32" s="7">
        <f t="shared" si="1"/>
        <v>15000</v>
      </c>
    </row>
    <row r="33" spans="1:12" x14ac:dyDescent="0.3">
      <c r="A33">
        <v>1032</v>
      </c>
      <c r="B33" s="2">
        <v>45695</v>
      </c>
      <c r="C33" t="s">
        <v>13</v>
      </c>
      <c r="D33" t="s">
        <v>14</v>
      </c>
      <c r="E33" t="s">
        <v>9</v>
      </c>
      <c r="F33">
        <v>4</v>
      </c>
      <c r="G33" s="3">
        <v>18000</v>
      </c>
      <c r="H33" s="7">
        <f>RawSales[[#This Row],[Quantity]]*RawSales[[#This Row],[Unit Price]]</f>
        <v>72000</v>
      </c>
      <c r="I33" t="str">
        <f>TEXT(RawSales[[#This Row],[Date]],"MMM")</f>
        <v>Feb</v>
      </c>
      <c r="J33">
        <f>YEAR(RawSales[[#This Row],[Date]])</f>
        <v>2025</v>
      </c>
      <c r="K33" t="str">
        <f t="shared" si="0"/>
        <v>Q1</v>
      </c>
      <c r="L33" s="7">
        <f t="shared" si="1"/>
        <v>54000</v>
      </c>
    </row>
    <row r="34" spans="1:12" x14ac:dyDescent="0.3">
      <c r="A34">
        <v>1033</v>
      </c>
      <c r="B34" s="2">
        <v>45696</v>
      </c>
      <c r="C34" t="s">
        <v>7</v>
      </c>
      <c r="D34" t="s">
        <v>16</v>
      </c>
      <c r="E34" t="s">
        <v>12</v>
      </c>
      <c r="F34">
        <v>2</v>
      </c>
      <c r="G34" s="3">
        <v>7500</v>
      </c>
      <c r="H34" s="7">
        <f>RawSales[[#This Row],[Quantity]]*RawSales[[#This Row],[Unit Price]]</f>
        <v>15000</v>
      </c>
      <c r="I34" t="str">
        <f>TEXT(RawSales[[#This Row],[Date]],"MMM")</f>
        <v>Feb</v>
      </c>
      <c r="J34">
        <f>YEAR(RawSales[[#This Row],[Date]])</f>
        <v>2025</v>
      </c>
      <c r="K34" t="str">
        <f t="shared" si="0"/>
        <v>Q1</v>
      </c>
      <c r="L34" s="7">
        <f t="shared" si="1"/>
        <v>7500</v>
      </c>
    </row>
    <row r="35" spans="1:12" x14ac:dyDescent="0.3">
      <c r="A35">
        <v>1034</v>
      </c>
      <c r="B35" s="2">
        <v>45697</v>
      </c>
      <c r="C35" t="s">
        <v>10</v>
      </c>
      <c r="D35" t="s">
        <v>11</v>
      </c>
      <c r="E35" t="s">
        <v>12</v>
      </c>
      <c r="F35">
        <v>6</v>
      </c>
      <c r="G35" s="3">
        <v>3000</v>
      </c>
      <c r="H35" s="7">
        <f>RawSales[[#This Row],[Quantity]]*RawSales[[#This Row],[Unit Price]]</f>
        <v>18000</v>
      </c>
      <c r="I35" t="str">
        <f>TEXT(RawSales[[#This Row],[Date]],"MMM")</f>
        <v>Feb</v>
      </c>
      <c r="J35">
        <f>YEAR(RawSales[[#This Row],[Date]])</f>
        <v>2025</v>
      </c>
      <c r="K35" t="str">
        <f t="shared" si="0"/>
        <v>Q1</v>
      </c>
      <c r="L35" s="7">
        <f t="shared" si="1"/>
        <v>15000</v>
      </c>
    </row>
    <row r="36" spans="1:12" x14ac:dyDescent="0.3">
      <c r="A36">
        <v>1035</v>
      </c>
      <c r="B36" s="2">
        <v>45698</v>
      </c>
      <c r="C36" t="s">
        <v>15</v>
      </c>
      <c r="D36" t="s">
        <v>8</v>
      </c>
      <c r="E36" t="s">
        <v>9</v>
      </c>
      <c r="F36">
        <v>1</v>
      </c>
      <c r="G36" s="3">
        <v>45000</v>
      </c>
      <c r="H36" s="7">
        <f>RawSales[[#This Row],[Quantity]]*RawSales[[#This Row],[Unit Price]]</f>
        <v>45000</v>
      </c>
      <c r="I36" t="str">
        <f>TEXT(RawSales[[#This Row],[Date]],"MMM")</f>
        <v>Feb</v>
      </c>
      <c r="J36">
        <f>YEAR(RawSales[[#This Row],[Date]])</f>
        <v>2025</v>
      </c>
      <c r="K36" t="str">
        <f t="shared" si="0"/>
        <v>Q1</v>
      </c>
      <c r="L36" s="7">
        <f t="shared" si="1"/>
        <v>0</v>
      </c>
    </row>
    <row r="37" spans="1:12" x14ac:dyDescent="0.3">
      <c r="A37">
        <v>1036</v>
      </c>
      <c r="B37" s="2">
        <v>45699</v>
      </c>
      <c r="C37" t="s">
        <v>13</v>
      </c>
      <c r="D37" t="s">
        <v>17</v>
      </c>
      <c r="E37" t="s">
        <v>18</v>
      </c>
      <c r="F37">
        <v>14</v>
      </c>
      <c r="G37" s="3">
        <v>1500</v>
      </c>
      <c r="H37" s="7">
        <f>RawSales[[#This Row],[Quantity]]*RawSales[[#This Row],[Unit Price]]</f>
        <v>21000</v>
      </c>
      <c r="I37" t="str">
        <f>TEXT(RawSales[[#This Row],[Date]],"MMM")</f>
        <v>Feb</v>
      </c>
      <c r="J37">
        <f>YEAR(RawSales[[#This Row],[Date]])</f>
        <v>2025</v>
      </c>
      <c r="K37" t="str">
        <f t="shared" si="0"/>
        <v>Q1</v>
      </c>
      <c r="L37" s="7">
        <f t="shared" si="1"/>
        <v>19500</v>
      </c>
    </row>
    <row r="38" spans="1:12" x14ac:dyDescent="0.3">
      <c r="A38">
        <v>1037</v>
      </c>
      <c r="B38" s="2">
        <v>45700</v>
      </c>
      <c r="C38" t="s">
        <v>7</v>
      </c>
      <c r="D38" t="s">
        <v>14</v>
      </c>
      <c r="E38" t="s">
        <v>9</v>
      </c>
      <c r="F38">
        <v>3</v>
      </c>
      <c r="G38" s="3">
        <v>18000</v>
      </c>
      <c r="H38" s="7">
        <f>RawSales[[#This Row],[Quantity]]*RawSales[[#This Row],[Unit Price]]</f>
        <v>54000</v>
      </c>
      <c r="I38" t="str">
        <f>TEXT(RawSales[[#This Row],[Date]],"MMM")</f>
        <v>Feb</v>
      </c>
      <c r="J38">
        <f>YEAR(RawSales[[#This Row],[Date]])</f>
        <v>2025</v>
      </c>
      <c r="K38" t="str">
        <f t="shared" si="0"/>
        <v>Q1</v>
      </c>
      <c r="L38" s="7">
        <f t="shared" si="1"/>
        <v>36000</v>
      </c>
    </row>
    <row r="39" spans="1:12" x14ac:dyDescent="0.3">
      <c r="A39">
        <v>1038</v>
      </c>
      <c r="B39" s="2">
        <v>45701</v>
      </c>
      <c r="C39" t="s">
        <v>10</v>
      </c>
      <c r="D39" t="s">
        <v>16</v>
      </c>
      <c r="E39" t="s">
        <v>12</v>
      </c>
      <c r="F39">
        <v>2</v>
      </c>
      <c r="G39" s="3">
        <v>7500</v>
      </c>
      <c r="H39" s="7">
        <f>RawSales[[#This Row],[Quantity]]*RawSales[[#This Row],[Unit Price]]</f>
        <v>15000</v>
      </c>
      <c r="I39" t="str">
        <f>TEXT(RawSales[[#This Row],[Date]],"MMM")</f>
        <v>Feb</v>
      </c>
      <c r="J39">
        <f>YEAR(RawSales[[#This Row],[Date]])</f>
        <v>2025</v>
      </c>
      <c r="K39" t="str">
        <f t="shared" si="0"/>
        <v>Q1</v>
      </c>
      <c r="L39" s="7">
        <f t="shared" si="1"/>
        <v>7500</v>
      </c>
    </row>
    <row r="40" spans="1:12" x14ac:dyDescent="0.3">
      <c r="A40">
        <v>1039</v>
      </c>
      <c r="B40" s="2">
        <v>45702</v>
      </c>
      <c r="C40" t="s">
        <v>15</v>
      </c>
      <c r="D40" t="s">
        <v>11</v>
      </c>
      <c r="E40" t="s">
        <v>12</v>
      </c>
      <c r="F40">
        <v>4</v>
      </c>
      <c r="G40" s="3">
        <v>3000</v>
      </c>
      <c r="H40" s="7">
        <f>RawSales[[#This Row],[Quantity]]*RawSales[[#This Row],[Unit Price]]</f>
        <v>12000</v>
      </c>
      <c r="I40" t="str">
        <f>TEXT(RawSales[[#This Row],[Date]],"MMM")</f>
        <v>Feb</v>
      </c>
      <c r="J40">
        <f>YEAR(RawSales[[#This Row],[Date]])</f>
        <v>2025</v>
      </c>
      <c r="K40" t="str">
        <f t="shared" si="0"/>
        <v>Q1</v>
      </c>
      <c r="L40" s="7">
        <f t="shared" si="1"/>
        <v>9000</v>
      </c>
    </row>
    <row r="41" spans="1:12" x14ac:dyDescent="0.3">
      <c r="A41">
        <v>1040</v>
      </c>
      <c r="B41" s="2">
        <v>45703</v>
      </c>
      <c r="C41" t="s">
        <v>13</v>
      </c>
      <c r="D41" t="s">
        <v>8</v>
      </c>
      <c r="E41" t="s">
        <v>9</v>
      </c>
      <c r="F41">
        <v>2</v>
      </c>
      <c r="G41" s="3">
        <v>45000</v>
      </c>
      <c r="H41" s="7">
        <f>RawSales[[#This Row],[Quantity]]*RawSales[[#This Row],[Unit Price]]</f>
        <v>90000</v>
      </c>
      <c r="I41" t="str">
        <f>TEXT(RawSales[[#This Row],[Date]],"MMM")</f>
        <v>Feb</v>
      </c>
      <c r="J41">
        <f>YEAR(RawSales[[#This Row],[Date]])</f>
        <v>2025</v>
      </c>
      <c r="K41" t="str">
        <f t="shared" si="0"/>
        <v>Q1</v>
      </c>
      <c r="L41" s="7">
        <f t="shared" si="1"/>
        <v>45000</v>
      </c>
    </row>
    <row r="42" spans="1:12" x14ac:dyDescent="0.3">
      <c r="A42">
        <v>1041</v>
      </c>
      <c r="B42" s="2">
        <v>45704</v>
      </c>
      <c r="C42" t="s">
        <v>10</v>
      </c>
      <c r="D42" t="s">
        <v>14</v>
      </c>
      <c r="E42" t="s">
        <v>9</v>
      </c>
      <c r="F42">
        <v>2</v>
      </c>
      <c r="G42" s="3">
        <v>18000</v>
      </c>
      <c r="H42" s="7">
        <f>RawSales[[#This Row],[Quantity]]*RawSales[[#This Row],[Unit Price]]</f>
        <v>36000</v>
      </c>
      <c r="I42" t="str">
        <f>TEXT(RawSales[[#This Row],[Date]],"MMM")</f>
        <v>Feb</v>
      </c>
      <c r="J42">
        <f>YEAR(RawSales[[#This Row],[Date]])</f>
        <v>2025</v>
      </c>
      <c r="K42" t="str">
        <f t="shared" si="0"/>
        <v>Q1</v>
      </c>
      <c r="L42" s="7">
        <f t="shared" si="1"/>
        <v>18000</v>
      </c>
    </row>
    <row r="43" spans="1:12" x14ac:dyDescent="0.3">
      <c r="A43">
        <v>1042</v>
      </c>
      <c r="B43" s="2">
        <v>45705</v>
      </c>
      <c r="C43" t="s">
        <v>7</v>
      </c>
      <c r="D43" t="s">
        <v>11</v>
      </c>
      <c r="E43" t="s">
        <v>12</v>
      </c>
      <c r="F43">
        <v>8</v>
      </c>
      <c r="G43" s="3">
        <v>3000</v>
      </c>
      <c r="H43" s="7">
        <f>RawSales[[#This Row],[Quantity]]*RawSales[[#This Row],[Unit Price]]</f>
        <v>24000</v>
      </c>
      <c r="I43" t="str">
        <f>TEXT(RawSales[[#This Row],[Date]],"MMM")</f>
        <v>Feb</v>
      </c>
      <c r="J43">
        <f>YEAR(RawSales[[#This Row],[Date]])</f>
        <v>2025</v>
      </c>
      <c r="K43" t="str">
        <f t="shared" si="0"/>
        <v>Q1</v>
      </c>
      <c r="L43" s="7">
        <f t="shared" si="1"/>
        <v>21000</v>
      </c>
    </row>
    <row r="44" spans="1:12" x14ac:dyDescent="0.3">
      <c r="A44">
        <v>1043</v>
      </c>
      <c r="B44" s="2">
        <v>45706</v>
      </c>
      <c r="C44" t="s">
        <v>13</v>
      </c>
      <c r="D44" t="s">
        <v>16</v>
      </c>
      <c r="E44" t="s">
        <v>12</v>
      </c>
      <c r="F44">
        <v>3</v>
      </c>
      <c r="G44" s="3">
        <v>7500</v>
      </c>
      <c r="H44" s="7">
        <f>RawSales[[#This Row],[Quantity]]*RawSales[[#This Row],[Unit Price]]</f>
        <v>22500</v>
      </c>
      <c r="I44" t="str">
        <f>TEXT(RawSales[[#This Row],[Date]],"MMM")</f>
        <v>Feb</v>
      </c>
      <c r="J44">
        <f>YEAR(RawSales[[#This Row],[Date]])</f>
        <v>2025</v>
      </c>
      <c r="K44" t="str">
        <f t="shared" si="0"/>
        <v>Q1</v>
      </c>
      <c r="L44" s="7">
        <f t="shared" si="1"/>
        <v>15000</v>
      </c>
    </row>
    <row r="45" spans="1:12" x14ac:dyDescent="0.3">
      <c r="A45">
        <v>1044</v>
      </c>
      <c r="B45" s="2">
        <v>45707</v>
      </c>
      <c r="C45" t="s">
        <v>15</v>
      </c>
      <c r="D45" t="s">
        <v>14</v>
      </c>
      <c r="E45" t="s">
        <v>9</v>
      </c>
      <c r="F45">
        <v>2</v>
      </c>
      <c r="G45" s="3">
        <v>18000</v>
      </c>
      <c r="H45" s="7">
        <f>RawSales[[#This Row],[Quantity]]*RawSales[[#This Row],[Unit Price]]</f>
        <v>36000</v>
      </c>
      <c r="I45" t="str">
        <f>TEXT(RawSales[[#This Row],[Date]],"MMM")</f>
        <v>Feb</v>
      </c>
      <c r="J45">
        <f>YEAR(RawSales[[#This Row],[Date]])</f>
        <v>2025</v>
      </c>
      <c r="K45" t="str">
        <f t="shared" si="0"/>
        <v>Q1</v>
      </c>
      <c r="L45" s="7">
        <f t="shared" si="1"/>
        <v>18000</v>
      </c>
    </row>
  </sheetData>
  <phoneticPr fontId="2" type="noConversion"/>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3BDFF-043E-4DC5-9F78-3FA1B8C4CD73}">
  <dimension ref="A3:B8"/>
  <sheetViews>
    <sheetView workbookViewId="0">
      <selection activeCell="G19" sqref="G19"/>
    </sheetView>
  </sheetViews>
  <sheetFormatPr defaultRowHeight="14.4" x14ac:dyDescent="0.3"/>
  <cols>
    <col min="1" max="1" width="12.5546875" bestFit="1" customWidth="1"/>
    <col min="2" max="2" width="16.44140625" bestFit="1" customWidth="1"/>
  </cols>
  <sheetData>
    <row r="3" spans="1:2" x14ac:dyDescent="0.3">
      <c r="A3" s="8" t="s">
        <v>22</v>
      </c>
      <c r="B3" t="s">
        <v>24</v>
      </c>
    </row>
    <row r="4" spans="1:2" x14ac:dyDescent="0.3">
      <c r="A4" s="9" t="s">
        <v>13</v>
      </c>
      <c r="B4" s="7">
        <v>514500</v>
      </c>
    </row>
    <row r="5" spans="1:2" x14ac:dyDescent="0.3">
      <c r="A5" s="9" t="s">
        <v>7</v>
      </c>
      <c r="B5" s="7">
        <v>417000</v>
      </c>
    </row>
    <row r="6" spans="1:2" x14ac:dyDescent="0.3">
      <c r="A6" s="9" t="s">
        <v>15</v>
      </c>
      <c r="B6" s="7">
        <v>315000</v>
      </c>
    </row>
    <row r="7" spans="1:2" x14ac:dyDescent="0.3">
      <c r="A7" s="9" t="s">
        <v>10</v>
      </c>
      <c r="B7" s="7">
        <v>306000</v>
      </c>
    </row>
    <row r="8" spans="1:2" x14ac:dyDescent="0.3">
      <c r="A8" s="9" t="s">
        <v>23</v>
      </c>
      <c r="B8" s="7">
        <v>1552500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6E8D9-BED8-4901-A6BA-FDAC4F778996}">
  <dimension ref="A1"/>
  <sheetViews>
    <sheetView showGridLines="0" tabSelected="1" workbookViewId="0">
      <selection activeCell="P11" sqref="P11"/>
    </sheetView>
  </sheetViews>
  <sheetFormatPr defaultRowHeight="14.4" x14ac:dyDescent="0.3"/>
  <sheetData/>
  <pageMargins left="0.7" right="0.7" top="0.75" bottom="0.75" header="0.3" footer="0.3"/>
  <pageSetup orientation="landscape" r:id="rId1"/>
  <drawing r:id="rId2"/>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Pivot_ProductSales</vt:lpstr>
      <vt:lpstr>Sales by Category</vt:lpstr>
      <vt:lpstr>Sales by Month</vt:lpstr>
      <vt:lpstr>Pivot_MonthlySales</vt:lpstr>
      <vt:lpstr>Raw Sales</vt:lpstr>
      <vt:lpstr>Pivot_RegionalSales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Guru raj</cp:lastModifiedBy>
  <dcterms:created xsi:type="dcterms:W3CDTF">2026-10-16T16:12:07Z</dcterms:created>
  <dcterms:modified xsi:type="dcterms:W3CDTF">2026-10-18T12:26:09Z</dcterms:modified>
</cp:coreProperties>
</file>